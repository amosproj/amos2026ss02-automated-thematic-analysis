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Mid-Project Release plan" sheetId="9" r:id="rId12"/>
    <sheet state="visible" name="Velocity Chart" sheetId="10" r:id="rId13"/>
    <sheet state="visible" name="Burndown Chart" sheetId="11" r:id="rId14"/>
    <sheet state="visible" name="Final Project Release plan" sheetId="12" r:id="rId15"/>
    <sheet state="visible" name="Final Velocity Chart" sheetId="13" r:id="rId16"/>
    <sheet state="visible" name="Final Burndown Chart" sheetId="14" r:id="rId17"/>
    <sheet state="visible" name="Definition of Done" sheetId="15" r:id="rId18"/>
    <sheet state="visible" name="Documentation" sheetId="16" r:id="rId19"/>
    <sheet state="visible" name="Bill of Materials" sheetId="17" r:id="rId20"/>
    <sheet state="visible" name="Planning Poker" sheetId="18" r:id="rId21"/>
  </sheets>
  <definedNames/>
  <calcPr/>
</workbook>
</file>

<file path=xl/sharedStrings.xml><?xml version="1.0" encoding="utf-8"?>
<sst xmlns="http://schemas.openxmlformats.org/spreadsheetml/2006/main" count="496" uniqueCount="345">
  <si>
    <t>Project Name</t>
  </si>
  <si>
    <t>Project 2 - NIM - Automated Thematic Analysis</t>
  </si>
  <si>
    <t>Online team meeting</t>
  </si>
  <si>
    <t>https://fau.zoom-x.de/j/64229233763?pwd=MboXckMTe5aVIBRIwvO71OgqjXJ7zb.1</t>
  </si>
  <si>
    <t>Production system (if any)</t>
  </si>
  <si>
    <t>...</t>
  </si>
  <si>
    <t>Test system (if any)</t>
  </si>
  <si>
    <t>GitHub repository</t>
  </si>
  <si>
    <t>https://github.com/amosproj/amos2026ss02-automated-thematic-analysis</t>
  </si>
  <si>
    <t>GitHub feature board</t>
  </si>
  <si>
    <t>https://github.com/orgs/amosproj/projects/98</t>
  </si>
  <si>
    <t>GitHub imp-squared backlog</t>
  </si>
  <si>
    <t>https://github.com/orgs/amosproj/projects/102</t>
  </si>
  <si>
    <t>Position of T-shirt logo</t>
  </si>
  <si>
    <t>Upper Torso Right Small</t>
  </si>
  <si>
    <t>Link to logo for black T-shirt</t>
  </si>
  <si>
    <t>https://github.com/amosproj/amos2026ss02-automated-thematic-analysis/blob/main/Deliverables/sprint-01/team-logo.svg</t>
  </si>
  <si>
    <t>Link to logo for white T-shirt</t>
  </si>
  <si>
    <t>Additional materials</t>
  </si>
  <si>
    <t>Team mailing list</t>
  </si>
  <si>
    <r>
      <rPr/>
      <t>oss-amos-proj2@lists.fau.de</t>
    </r>
    <r>
      <rPr>
        <b/>
      </rPr>
      <t xml:space="preserve"> </t>
    </r>
    <r>
      <rPr>
        <b/>
        <color rgb="FFFF0000"/>
      </rPr>
      <t>(Emails sent here get quarantined by the TU Berlin Spam Filter)</t>
    </r>
  </si>
  <si>
    <t>Last Name</t>
  </si>
  <si>
    <t>First Name</t>
  </si>
  <si>
    <t>GitHub User Name</t>
  </si>
  <si>
    <t>Email Address</t>
  </si>
  <si>
    <t>Kahvecioglu</t>
  </si>
  <si>
    <t>Selin</t>
  </si>
  <si>
    <t>slnkahveci</t>
  </si>
  <si>
    <t>kahvecioglu@campus.tu-berlin.de</t>
  </si>
  <si>
    <t>de Sa Filho</t>
  </si>
  <si>
    <t>Fabiano</t>
  </si>
  <si>
    <t>fdesafilho</t>
  </si>
  <si>
    <r>
      <rPr>
        <color rgb="FF000000"/>
      </rPr>
      <t>fabiano.de.sa</t>
    </r>
    <r>
      <rPr/>
      <t>@fau.de</t>
    </r>
  </si>
  <si>
    <t>Ammann</t>
  </si>
  <si>
    <t>Paul</t>
  </si>
  <si>
    <t>Wecoreator</t>
  </si>
  <si>
    <t>p.ammann@campus.tu-berlin.de</t>
  </si>
  <si>
    <t>Schmidt</t>
  </si>
  <si>
    <t>Alexander</t>
  </si>
  <si>
    <t>alexanderschmi</t>
  </si>
  <si>
    <t>a.schmidt.2@tu-berlin.de</t>
  </si>
  <si>
    <t>Wendlandt</t>
  </si>
  <si>
    <t>Julian</t>
  </si>
  <si>
    <t>julianlucawendlandt-jpg</t>
  </si>
  <si>
    <t>julian.luca.wendlandt@campus.tu-berlin.de</t>
  </si>
  <si>
    <t>Müermann</t>
  </si>
  <si>
    <t>Ole</t>
  </si>
  <si>
    <t>ClimbTheGrind</t>
  </si>
  <si>
    <t>ole.mueermann@fau.de</t>
  </si>
  <si>
    <t>Klarer</t>
  </si>
  <si>
    <t>paulKlarer</t>
  </si>
  <si>
    <t>paul.linus.klarer@fau.de</t>
  </si>
  <si>
    <t>Mantsch</t>
  </si>
  <si>
    <t>Christoph</t>
  </si>
  <si>
    <t>Christoph-Mantsch</t>
  </si>
  <si>
    <r>
      <rPr>
        <color rgb="FF000000"/>
      </rPr>
      <t>christoph.cm</t>
    </r>
    <r>
      <rPr/>
      <t>.mantsch@fau.de</t>
    </r>
  </si>
  <si>
    <t>Annus</t>
  </si>
  <si>
    <t>Mohammad</t>
  </si>
  <si>
    <t>annus3</t>
  </si>
  <si>
    <t>mohammad.annus@fau.de</t>
  </si>
  <si>
    <t>Rasul</t>
  </si>
  <si>
    <t>Hamid</t>
  </si>
  <si>
    <t>hrasul</t>
  </si>
  <si>
    <t>hamid.rasul@fau.de</t>
  </si>
  <si>
    <t>Product Owner</t>
  </si>
  <si>
    <t>#</t>
  </si>
  <si>
    <t>Meeting Day</t>
  </si>
  <si>
    <t>Review</t>
  </si>
  <si>
    <t>Planning</t>
  </si>
  <si>
    <t>Software Developer</t>
  </si>
  <si>
    <t>Release Manager</t>
  </si>
  <si>
    <t>Scrum Master</t>
  </si>
  <si>
    <t>Comment</t>
  </si>
  <si>
    <t>Alexander Schmidt</t>
  </si>
  <si>
    <t>Fabiano de Sa Filho</t>
  </si>
  <si>
    <t>Everyone else</t>
  </si>
  <si>
    <t>N/A</t>
  </si>
  <si>
    <t>Christoph Mantsch</t>
  </si>
  <si>
    <t>Paul Klarer</t>
  </si>
  <si>
    <t>Selin Kahvecioglu</t>
  </si>
  <si>
    <t>Ole Müermann</t>
  </si>
  <si>
    <t>Hamid Rasul</t>
  </si>
  <si>
    <t>Mid-term due</t>
  </si>
  <si>
    <t>Paul Ammann</t>
  </si>
  <si>
    <t>Mohammad Annus</t>
  </si>
  <si>
    <t>Julian Wendlandt</t>
  </si>
  <si>
    <t>Demo day!</t>
  </si>
  <si>
    <t>Retrospective</t>
  </si>
  <si>
    <t>Product owners, software developers, and Scurm Master are set and ideally don't change over time; the critical part is the Release Manager role you need to define here</t>
  </si>
  <si>
    <t>Goals</t>
  </si>
  <si>
    <t>Having Fun</t>
  </si>
  <si>
    <t>Satisfy NIM</t>
  </si>
  <si>
    <t>Program an automated thematic analysis of interview transcripts</t>
  </si>
  <si>
    <t>Meeting norms</t>
  </si>
  <si>
    <t>Joining the meeting is mandatory</t>
  </si>
  <si>
    <t>Always be on time (up to 10 min late is fine if short message on discord)</t>
  </si>
  <si>
    <t>Follow the timeline</t>
  </si>
  <si>
    <t>Take notes in each meeting</t>
  </si>
  <si>
    <t>Happiness Index after Sprint retrospective</t>
  </si>
  <si>
    <t>Each meeting takes 1:30 hours</t>
  </si>
  <si>
    <t>Working norms</t>
  </si>
  <si>
    <t>Tell us if/when you are working on a task</t>
  </si>
  <si>
    <t>We encourage pair programming</t>
  </si>
  <si>
    <t>Coordination norms</t>
  </si>
  <si>
    <t>Self assign issues you are opening</t>
  </si>
  <si>
    <t>Do not force push</t>
  </si>
  <si>
    <t>Use PEP 8 as style (configure your IDEs)</t>
  </si>
  <si>
    <t>Follow https://www.atlassian.com/git/tutorials/comparing-workflows/gitflow-workflow</t>
  </si>
  <si>
    <t>Once every workday check discord</t>
  </si>
  <si>
    <t>If someone is blocked share with the team</t>
  </si>
  <si>
    <t>Communication norms</t>
  </si>
  <si>
    <t>Criticism should be productive</t>
  </si>
  <si>
    <t>Language should be respectful at all time (written and oral)</t>
  </si>
  <si>
    <t>Consideration norms</t>
  </si>
  <si>
    <t>Discuss disagreement openly</t>
  </si>
  <si>
    <t>Follow the NDA and data privacy</t>
  </si>
  <si>
    <t>Try not to induce bias in our project</t>
  </si>
  <si>
    <t>Cont. improvement norms</t>
  </si>
  <si>
    <t>Finish work until tuesday evening 20:00 PM</t>
  </si>
  <si>
    <t>At the end of the meeting discuss happyness score / what could be done better / what was good</t>
  </si>
  <si>
    <t>Rewards</t>
  </si>
  <si>
    <t xml:space="preserve">Have a happy meeting </t>
  </si>
  <si>
    <t>Sanctions</t>
  </si>
  <si>
    <t>Write a poem saying you are sorry</t>
  </si>
  <si>
    <t>After multiple or serious offenses escalate to prof</t>
  </si>
  <si>
    <t>Signatures</t>
  </si>
  <si>
    <t>Product owner</t>
  </si>
  <si>
    <t>Software developer</t>
  </si>
  <si>
    <t>Product Vision</t>
  </si>
  <si>
    <t>Project Mission</t>
  </si>
  <si>
    <t>LLMs are a fantastic tool to interview research subjects at scale, which previously had to be done by human researchers. This method generates unstructured interview dialogues which must then be processed and analysed manually. The goal of this project is to use LLMs to also automate the analysis part, enabling policy researchers to feed their interview corpus to our tool and obtain not only the thematic analysis, but also relevant insights derived from the demographic data of the respondents. This way, we seek to bridge the gap between quantitative and qualitative policy research.</t>
  </si>
  <si>
    <t>To engineer a secure, open-source tool that ingests thousands of subject interviews about a policy topic and produces an accurate thematic analysis breakdown. The core is a multi-stage LLM pipeline that extracts quotes, codes them into themes, clusters and ranks those themes, and cross-references them against respondent demographic dimensions. Results are surfaced through a lightweight frontend and exportable in structured formats. We also provide direct reference back to the corpus, so researchers can see which interviews most strongly manifest a particular theme or demographic combination.</t>
  </si>
  <si>
    <t>Term</t>
  </si>
  <si>
    <t>Definition</t>
  </si>
  <si>
    <t>Corpus / Dataset</t>
  </si>
  <si>
    <t>The LLM-led interviews on the economic impact of AI provided by the Industry Partner. Format: JSON</t>
  </si>
  <si>
    <t>Demographic Data</t>
  </si>
  <si>
    <t>Categorical variables describing each subject in the Corpus; has been partially sanitized by Industry partner, but must be handled with care. Absolutely should not be downloaded or uploaded to third parties. Format: CSV. Type: Numerical or Categorical Variables</t>
  </si>
  <si>
    <t>Thematic Analysis</t>
  </si>
  <si>
    <t>The qualitative method of identifying and analyzing patterns of meaning (themes) in a dataset. These themes should be followed by a short description and some quantitative measures of prevalence in the dataset.</t>
  </si>
  <si>
    <t>Analysis Run</t>
  </si>
  <si>
    <t>A single execution of the thematic analysis process based on a defined corpus, query, coding mode, and codebook. An analysis run produces outputs such as themes, tagged passages, and aggregated results.</t>
  </si>
  <si>
    <t>Codebook</t>
  </si>
  <si>
    <t>A structured collection of themes/codes used during thematic analysis. A codebook typically contains:
- code/theme name
- description
- optional inclusion/exclusion criteria
- optional examples</t>
  </si>
  <si>
    <t>Interview</t>
  </si>
  <si>
    <t>A textual dialogue between a research subject and an LLM about a research topic. It is provided by the industry partner in our case, and the interviews are about the Economic Impacts of AI in the job market.</t>
  </si>
  <si>
    <t>Demographic Data Variables</t>
  </si>
  <si>
    <t xml:space="preserve">Can be of two types: (1) Numerical: Continous variable like age, income. (2) Categorical: Classifies respondents into a category, such as gender, age bracket, level of schooling. </t>
  </si>
  <si>
    <t>Coding Mode</t>
  </si>
  <si>
    <t>The method by which the system determines and applies themes. The project currently includes three coding modes:
- Fully automatic: The system consumes the corpus and produces the entire codebook without any human supervision, generating insights from the demographic data.
- Semi-automatic: The system uses the corpus to produce a codebook, but allows the user to add, romove, and edit any of the themes. The system then procceds with the analyses using this edited codebook and receives natural language queries from the user, but does not modify the user-provided codebook in any way.
- User-instructed: The system bypasses the codebook generation phase, and goes straight in to the natural language queries with the user provided codebook.</t>
  </si>
  <si>
    <t>Corpus View</t>
  </si>
  <si>
    <t>The product view that presents an aggregated overview of themes across the full corpus, including frequencies, quotes, and demographic breakdowns.</t>
  </si>
  <si>
    <t>Interview View</t>
  </si>
  <si>
    <t>The product view showing one full transcript, its highlighted themes, and the associated demographic information of the interviewee.</t>
  </si>
  <si>
    <t>Tag</t>
  </si>
  <si>
    <t>A thematic assignment attached to a specific passage in a transcript.</t>
  </si>
  <si>
    <t>Query</t>
  </si>
  <si>
    <t>A natural-language research question entered by the researcher to guide the thematic analysis.</t>
  </si>
  <si>
    <t>Theme</t>
  </si>
  <si>
    <t>A recurring pattern of meaning relevant to the research question, identified in one or more interviews.</t>
  </si>
  <si>
    <t>Qualitative Analysis</t>
  </si>
  <si>
    <t>A research method focused on interpreting non-numeric data, such as interview transcripts, to identify patterns, meanings, and themes.</t>
  </si>
  <si>
    <t>Code</t>
  </si>
  <si>
    <t>A short label, usually 5–12 words, that captures the central meaning of a quote or text chunk; it also has a description clarifying its scope.</t>
  </si>
  <si>
    <t>Sprint #</t>
  </si>
  <si>
    <t>Sprint goal</t>
  </si>
  <si>
    <t>Meeting with industry partner, designing the logo, setting up the project</t>
  </si>
  <si>
    <t>Ingesting the interview dataset provided by the industry partner, working on the Architecture Description document, and delivering a first prototype that successfully passes text through a basic LLM endpoint.</t>
  </si>
  <si>
    <t>Creating a basic demo to be shown to Dr. Kaiser. Starting with simple views, database and llm communication</t>
  </si>
  <si>
    <t>Creating the first version of the frontend, finishing up the basic demo of the backend. Adding a Readme and writting a proper Build script.</t>
  </si>
  <si>
    <t>Closing up all features from previous sprints, finalizing the frontend so that we have a working demo for Industry Partner.</t>
  </si>
  <si>
    <t>Working on the thematic analysis logic for the mid project release</t>
  </si>
  <si>
    <t>Finishing work of Sprint 6. Refactoring and Optimization</t>
  </si>
  <si>
    <t>Start on Apply codebook to Corpus</t>
  </si>
  <si>
    <t>Finish Apply Codeboook to Corpus and other minor issues</t>
  </si>
  <si>
    <t>Focus on displaying all of thebtrabscripts for a particular theme and adding external API Support. Minor fixes requested by Dr.Kaiser</t>
  </si>
  <si>
    <t>Story Points Realized</t>
  </si>
  <si>
    <t>Story Points Planned</t>
  </si>
  <si>
    <t>Average Planned</t>
  </si>
  <si>
    <t>Average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</si>
  <si>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</si>
  <si>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</si>
  <si>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</si>
  <si>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</si>
  <si>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</si>
  <si>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</si>
  <si>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</si>
  <si>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</si>
  <si>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</si>
  <si>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</si>
  <si>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</si>
  <si>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</si>
  <si>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</si>
  <si>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</si>
  <si>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Designing Project Logo</t>
  </si>
  <si>
    <t>Select Open source model for Generation Phase</t>
  </si>
  <si>
    <t>Create PDF of software architecture description</t>
  </si>
  <si>
    <t>Software Bill of Material</t>
  </si>
  <si>
    <t>Setting up the Repo with FastAPI, docker, etc</t>
  </si>
  <si>
    <t>Simple Data persistence Layer</t>
  </si>
  <si>
    <t>View Theme Overview</t>
  </si>
  <si>
    <t>Automated Database structure Setup</t>
  </si>
  <si>
    <t>First LLM Request Setup</t>
  </si>
  <si>
    <t>Plan Build Proccess</t>
  </si>
  <si>
    <t>Upload Interview Transcript</t>
  </si>
  <si>
    <t>Apply Codebook to interview</t>
  </si>
  <si>
    <r>
      <rPr>
        <rFont val="arial, sans, sans-serif"/>
      </rPr>
      <t xml:space="preserve">Add root </t>
    </r>
    <r>
      <rPr>
        <rFont val="arial, sans, sans-serif"/>
        <color rgb="FF1155CC"/>
        <u/>
      </rPr>
      <t>README.md</t>
    </r>
    <r>
      <rPr>
        <rFont val="arial, sans, sans-serif"/>
      </rPr>
      <t xml:space="preserve"> file</t>
    </r>
  </si>
  <si>
    <t>Implement Build Proccess</t>
  </si>
  <si>
    <t>Setup Frontend for document Upload</t>
  </si>
  <si>
    <t>Setup Frontend</t>
  </si>
  <si>
    <t>Link Transcripts and Demographic Data</t>
  </si>
  <si>
    <t>Upload Predefined Codebook</t>
  </si>
  <si>
    <t>Upload Demographic Data</t>
  </si>
  <si>
    <t>Implement Automatic Codebook Generation</t>
  </si>
  <si>
    <t>Demographic Data Upload Frontend</t>
  </si>
  <si>
    <t>Demographic Data Viewer Page</t>
  </si>
  <si>
    <t>Select Coding Mode Frontend</t>
  </si>
  <si>
    <t>Export Codebook</t>
  </si>
  <si>
    <t>Scrum Master Charts</t>
  </si>
  <si>
    <t>Speed</t>
  </si>
  <si>
    <t>sp</t>
  </si>
  <si>
    <r>
      <rPr>
        <rFont val="arial, sans, sans-serif"/>
      </rPr>
      <t xml:space="preserve">Add root </t>
    </r>
    <r>
      <rPr>
        <rFont val="arial, sans, sans-serif"/>
        <color rgb="FF1155CC"/>
        <u/>
      </rPr>
      <t>README.md</t>
    </r>
    <r>
      <rPr>
        <rFont val="arial, sans, sans-serif"/>
      </rPr>
      <t xml:space="preserve"> file</t>
    </r>
  </si>
  <si>
    <t>TBD after Team meeting on 03.06.2026</t>
  </si>
  <si>
    <t>Apply Codebook to Corpus</t>
  </si>
  <si>
    <t>Feature Definition of Done</t>
  </si>
  <si>
    <t>Sprint Release Definition of Done</t>
  </si>
  <si>
    <t>Project Release Definition of Done</t>
  </si>
  <si>
    <t>New feature code has been documented, READMEs have been updated to reflect changes</t>
  </si>
  <si>
    <t>Project builds, deploys, and tests successfully</t>
  </si>
  <si>
    <t>Deployment process is tested and documented</t>
  </si>
  <si>
    <t>Unit tests for relevant logic are written and passing</t>
  </si>
  <si>
    <t>All stories committed as “done” meet the Feature Definition of Done</t>
  </si>
  <si>
    <t>User documentation has been updated</t>
  </si>
  <si>
    <t>Feature has been fully implemented</t>
  </si>
  <si>
    <t xml:space="preserve">All completed features are integrated into the main branch </t>
  </si>
  <si>
    <t>Architecture documentation and Bill of Materials is up to date</t>
  </si>
  <si>
    <t>Feature has been merged into the mainline</t>
  </si>
  <si>
    <t>Documentation and READMEs reflect changes made in the sprint</t>
  </si>
  <si>
    <t>The released product increment solves the intended user problem at a usable level</t>
  </si>
  <si>
    <t>All acceptance criteria were met</t>
  </si>
  <si>
    <t>Incomplete items are clearly identified and moved/replanned</t>
  </si>
  <si>
    <t>Performance is acceptable for the expected usage volume</t>
  </si>
  <si>
    <t>Product owner approved features</t>
  </si>
  <si>
    <t>Retrospective completed</t>
  </si>
  <si>
    <t>The user is able to install and use the application with minimal configuration</t>
  </si>
  <si>
    <t>Developers agreed to release</t>
  </si>
  <si>
    <t>All implemented features are moved to the feature archive and their issues marked as closed</t>
  </si>
  <si>
    <t>No critical or high bugs remain</t>
  </si>
  <si>
    <t>Type</t>
  </si>
  <si>
    <t>Link / reference</t>
  </si>
  <si>
    <t>Context</t>
  </si>
  <si>
    <t>Name</t>
  </si>
  <si>
    <t>Version</t>
  </si>
  <si>
    <t>License</t>
  </si>
  <si>
    <t>Database</t>
  </si>
  <si>
    <t>PostgreSQL</t>
  </si>
  <si>
    <t>PostgreSQL License</t>
  </si>
  <si>
    <t>Reliable open-source relational database for structured application data.</t>
  </si>
  <si>
    <t>Database extension</t>
  </si>
  <si>
    <t>pgvector</t>
  </si>
  <si>
    <t>Adds vector storage and similarity search directly inside PostgreSQL</t>
  </si>
  <si>
    <t>Programming language / runtime</t>
  </si>
  <si>
    <t>Python</t>
  </si>
  <si>
    <t>Python Software Foundation License Version 2</t>
  </si>
  <si>
    <t>Core runtime for backend</t>
  </si>
  <si>
    <t>Database ORM / SQL toolkit</t>
  </si>
  <si>
    <t>SQLAlchemy</t>
  </si>
  <si>
    <t>MIT</t>
  </si>
  <si>
    <t>Provides Python ORM and SQL toolkit support for database access and queries.</t>
  </si>
  <si>
    <t>Backend API framework</t>
  </si>
  <si>
    <t>FastAPI</t>
  </si>
  <si>
    <t>Build easy python basd APIs</t>
  </si>
  <si>
    <t>Data validation</t>
  </si>
  <si>
    <t>Pydantic</t>
  </si>
  <si>
    <t>Validates, parses, and serializes Python data models safely.</t>
  </si>
  <si>
    <t>LLM application framework</t>
  </si>
  <si>
    <t>LangChain</t>
  </si>
  <si>
    <t>Build LLM workflows</t>
  </si>
  <si>
    <t>NLP library</t>
  </si>
  <si>
    <t>spaCy</t>
  </si>
  <si>
    <t>Provides production-ready NLP features such as tokenization, NER, and pipelines. Contains e.g. BERT Implementations for NLP tasks like classification</t>
  </si>
  <si>
    <t>ASGI server</t>
  </si>
  <si>
    <t>Uvicorn</t>
  </si>
  <si>
    <t>BSD-3-Clause</t>
  </si>
  <si>
    <t>Runs the FastAPI backend</t>
  </si>
  <si>
    <t>PostgreSQL async driver</t>
  </si>
  <si>
    <t>asyncpg</t>
  </si>
  <si>
    <t>Apache License 2.0</t>
  </si>
  <si>
    <t>Provides fast asynchronous PostgreSQL connectivity for Python services.</t>
  </si>
  <si>
    <t>LLM observability</t>
  </si>
  <si>
    <t>Langfuse</t>
  </si>
  <si>
    <t>MIT Expat for core; enterprise directories under separate ee/LICENSE</t>
  </si>
  <si>
    <t>Tracks LLM traces, prompts, latency, costs, and evaluation data.</t>
  </si>
  <si>
    <t>HTTP client</t>
  </si>
  <si>
    <t>HTTPX</t>
  </si>
  <si>
    <t>Provides sync and async HTTP calls to model APIs and backend services.</t>
  </si>
  <si>
    <t>Testing framework</t>
  </si>
  <si>
    <t>pytest</t>
  </si>
  <si>
    <t>Automated Testing</t>
  </si>
  <si>
    <t>Environment configuration</t>
  </si>
  <si>
    <t>python-dotenv</t>
  </si>
  <si>
    <t>Loads local environment variables from .env files during development.</t>
  </si>
  <si>
    <t>Tokenization</t>
  </si>
  <si>
    <t>tiktoken</t>
  </si>
  <si>
    <t>Counts and encodes tokens. Used by LangChain for Textsplitting.</t>
  </si>
  <si>
    <t>LLM frontend prototyping</t>
  </si>
  <si>
    <t>Streamlit</t>
  </si>
  <si>
    <t>Quickly builds Python-based web apps, dashboards, and chat prototypes for LLM applications. Used for protoyping &amp; early previews.</t>
  </si>
  <si>
    <t>Large language model</t>
  </si>
  <si>
    <t>Gemma</t>
  </si>
  <si>
    <t>Gemma 4 31B</t>
  </si>
  <si>
    <t>Candidate self-hosted open model. More details in the model selection document. Final model decision is still outstanding.</t>
  </si>
  <si>
    <t>Qwen</t>
  </si>
  <si>
    <t>Qwen3.5-35B-A3B</t>
  </si>
  <si>
    <t>Mixtral</t>
  </si>
  <si>
    <t>Mixtral 8x7B</t>
  </si>
  <si>
    <t>LLM gateway / provider abstraction</t>
  </si>
  <si>
    <t>LiteLLM</t>
  </si>
  <si>
    <t>MIT for OSS package; enterprise package/features under separate commercial license</t>
  </si>
  <si>
    <t>Provides a unified OpenAI-compatible interface for calling multiple LLM providers.</t>
  </si>
  <si>
    <t>Containerization / deployment</t>
  </si>
  <si>
    <t>Docker Engine</t>
  </si>
  <si>
    <t>Packages and runs the application stack consistently across environments.</t>
  </si>
  <si>
    <t>Web framework</t>
  </si>
  <si>
    <t>Flask</t>
  </si>
  <si>
    <t>Server-side web framework for the production frontend</t>
  </si>
  <si>
    <t>Template engine</t>
  </si>
  <si>
    <t>Jinja2</t>
  </si>
  <si>
    <t>Template engine used with Flask to generate server-rendered HTML views</t>
  </si>
  <si>
    <t>Chat / users</t>
  </si>
  <si>
    <t>OpenWebUI</t>
  </si>
  <si>
    <t>Open WebUI License</t>
  </si>
  <si>
    <t>chat-style interaction and user management. Current OpenWebUI versions use the Open WebUI License, which is based on BSD-3-Clause but adds a branding / attribution restriction</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</si>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</sst>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1">
    <font>
      <sz val="10.0"/>
      <color rgb="FF000000"/>
      <name val="Arial"/>
    </font>
    <font>
      <b/>
    </font>
    <font/>
    <font>
      <u/>
      <color rgb="FF0000FF"/>
    </font>
    <font>
      <u/>
      <color rgb="FF0000FF"/>
    </font>
    <font>
      <b/>
      <name val="Arial"/>
    </font>
    <font>
      <name val="Arial"/>
    </font>
    <font>
      <u/>
      <color rgb="FF0000FF"/>
      <name val="Arial"/>
    </font>
    <font>
      <color rgb="FFFFFFFF"/>
      <name val="Arial"/>
    </font>
    <font>
      <u/>
      <color rgb="FF0000FF"/>
      <name val="Arial"/>
    </font>
    <font>
      <b/>
      <sz val="24.0"/>
      <name val="Arial"/>
    </font>
  </fonts>
  <fills count="9">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21">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2" fontId="0" numFmtId="0" xfId="0" applyAlignment="1" applyFill="1" applyFont="1">
      <alignment readingOrder="0" shrinkToFit="0" wrapText="1"/>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readingOrder="0" shrinkToFit="0" wrapText="1"/>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2" fontId="5" numFmtId="0" xfId="0" applyAlignment="1" applyFont="1">
      <alignment shrinkToFit="0" vertical="bottom" wrapText="1"/>
    </xf>
    <xf borderId="0" fillId="2" fontId="6" numFmtId="0" xfId="0" applyAlignment="1" applyFont="1">
      <alignment readingOrder="0" shrinkToFit="0" vertical="bottom" wrapText="1"/>
    </xf>
    <xf borderId="0" fillId="4" fontId="6" numFmtId="0" xfId="0" applyAlignment="1" applyFill="1" applyFont="1">
      <alignment shrinkToFit="0" vertical="bottom" wrapText="1"/>
    </xf>
    <xf borderId="0" fillId="4" fontId="6" numFmtId="0" xfId="0" applyAlignment="1" applyFont="1">
      <alignment readingOrder="0" shrinkToFit="0" vertical="bottom" wrapText="1"/>
    </xf>
    <xf borderId="0" fillId="0" fontId="0" numFmtId="0" xfId="0" applyAlignment="1" applyFont="1">
      <alignment readingOrder="0" shrinkToFit="0" wrapText="1"/>
    </xf>
    <xf borderId="0" fillId="2" fontId="5" numFmtId="0" xfId="0" applyAlignment="1" applyFont="1">
      <alignment readingOrder="0" shrinkToFit="0" vertical="bottom" wrapText="1"/>
    </xf>
    <xf borderId="0" fillId="4" fontId="7" numFmtId="0" xfId="0" applyAlignment="1" applyFont="1">
      <alignment readingOrder="0" shrinkToFit="0" vertical="bottom" wrapText="1"/>
    </xf>
    <xf borderId="0" fillId="4" fontId="6" numFmtId="0" xfId="0" applyAlignment="1" applyFont="1">
      <alignment shrinkToFit="0" vertical="bottom" wrapText="1"/>
    </xf>
    <xf borderId="0" fillId="2" fontId="5" numFmtId="0" xfId="0" applyAlignment="1" applyFont="1">
      <alignment shrinkToFit="0" vertical="bottom" wrapText="1"/>
    </xf>
    <xf borderId="0" fillId="0" fontId="2" numFmtId="0" xfId="0" applyAlignment="1" applyFont="1">
      <alignment shrinkToFit="0" wrapText="1"/>
    </xf>
    <xf borderId="0" fillId="3" fontId="1" numFmtId="0" xfId="0" applyAlignment="1" applyFont="1">
      <alignment readingOrder="0" shrinkToFit="0" wrapText="1"/>
    </xf>
    <xf borderId="0" fillId="2" fontId="2" numFmtId="0" xfId="0" applyAlignment="1" applyFont="1">
      <alignment shrinkToFit="0" wrapText="1"/>
    </xf>
    <xf borderId="0" fillId="2" fontId="2" numFmtId="0" xfId="0" applyAlignment="1" applyFont="1">
      <alignment readingOrder="0" shrinkToFit="0" wrapText="1"/>
    </xf>
    <xf borderId="0" fillId="4" fontId="6"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2" fontId="6" numFmtId="0" xfId="0" applyAlignment="1" applyFont="1">
      <alignment readingOrder="0" shrinkToFit="0" vertical="bottom" wrapText="0"/>
    </xf>
    <xf borderId="0" fillId="0" fontId="2" numFmtId="0" xfId="0" applyAlignment="1" applyFont="1">
      <alignment horizontal="left" shrinkToFit="0" wrapText="1"/>
    </xf>
    <xf borderId="0" fillId="0" fontId="1" numFmtId="0" xfId="0" applyAlignment="1" applyFont="1">
      <alignment horizontal="center" readingOrder="0" shrinkToFit="0" wrapText="1"/>
    </xf>
    <xf borderId="0" fillId="0" fontId="2" numFmtId="0" xfId="0" applyAlignment="1" applyFont="1">
      <alignment horizontal="center" readingOrder="0" shrinkToFit="0" wrapText="1"/>
    </xf>
    <xf borderId="0" fillId="0" fontId="2" numFmtId="0" xfId="0" applyAlignment="1" applyFont="1">
      <alignment horizontal="center" shrinkToFit="0" wrapText="1"/>
    </xf>
    <xf borderId="0" fillId="5" fontId="1" numFmtId="0" xfId="0" applyAlignment="1" applyFill="1" applyFont="1">
      <alignment readingOrder="0" shrinkToFit="0" wrapText="1"/>
    </xf>
    <xf borderId="0" fillId="3" fontId="5" numFmtId="0" xfId="0" applyAlignment="1" applyFont="1">
      <alignment horizontal="left" shrinkToFit="0" vertical="bottom" wrapText="1"/>
    </xf>
    <xf borderId="0" fillId="3" fontId="5" numFmtId="0" xfId="0" applyAlignment="1" applyFont="1">
      <alignment shrinkToFit="0" vertical="bottom" wrapText="0"/>
    </xf>
    <xf borderId="0" fillId="3" fontId="5" numFmtId="0" xfId="0" applyAlignment="1" applyFont="1">
      <alignment shrinkToFit="0" vertical="bottom" wrapText="0"/>
    </xf>
    <xf borderId="0" fillId="3" fontId="5" numFmtId="0" xfId="0" applyAlignment="1" applyFont="1">
      <alignment horizontal="center" readingOrder="0" shrinkToFit="0" vertical="bottom"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1"/>
    </xf>
    <xf borderId="0" fillId="6" fontId="5" numFmtId="0" xfId="0" applyAlignment="1" applyFill="1" applyFont="1">
      <alignment horizontal="left" shrinkToFit="0" vertical="bottom" wrapText="0"/>
    </xf>
    <xf borderId="0" fillId="6" fontId="6" numFmtId="0" xfId="0" applyAlignment="1" applyFont="1">
      <alignment shrinkToFit="0" vertical="bottom" wrapText="0"/>
    </xf>
    <xf borderId="0" fillId="6" fontId="6" numFmtId="0" xfId="0" applyAlignment="1" applyFont="1">
      <alignment shrinkToFit="0" vertical="bottom" wrapText="1"/>
    </xf>
    <xf borderId="0" fillId="4" fontId="5" numFmtId="0" xfId="0" applyAlignment="1" applyFont="1">
      <alignment shrinkToFit="0" vertical="bottom" wrapText="0"/>
    </xf>
    <xf borderId="0" fillId="0" fontId="2" numFmtId="0" xfId="0" applyAlignment="1" applyFont="1">
      <alignment shrinkToFit="0" wrapText="0"/>
    </xf>
    <xf borderId="0" fillId="4" fontId="6" numFmtId="0" xfId="0" applyAlignment="1" applyFont="1">
      <alignment horizontal="right" shrinkToFit="0" vertical="bottom" wrapText="0"/>
    </xf>
    <xf borderId="0" fillId="7" fontId="5" numFmtId="0" xfId="0" applyAlignment="1" applyFill="1" applyFont="1">
      <alignment horizontal="left" shrinkToFit="0" vertical="bottom" wrapText="0"/>
    </xf>
    <xf borderId="0" fillId="7" fontId="5" numFmtId="0" xfId="0" applyAlignment="1" applyFont="1">
      <alignment shrinkToFit="0" vertical="bottom" wrapText="0"/>
    </xf>
    <xf borderId="0" fillId="7" fontId="6" numFmtId="0" xfId="0" applyAlignment="1" applyFont="1">
      <alignment shrinkToFit="0" vertical="bottom" wrapText="1"/>
    </xf>
    <xf borderId="0" fillId="2" fontId="6" numFmtId="0" xfId="0" applyAlignment="1" applyFont="1">
      <alignment horizontal="left" readingOrder="0" shrinkToFit="0" vertical="bottom" wrapText="1"/>
    </xf>
    <xf borderId="0" fillId="2" fontId="8" numFmtId="0" xfId="0" applyAlignment="1" applyFont="1">
      <alignment horizontal="center" shrinkToFit="0" vertical="bottom" wrapText="0"/>
    </xf>
    <xf borderId="0" fillId="4" fontId="6" numFmtId="0" xfId="0" applyAlignment="1" applyFont="1">
      <alignment horizontal="left" shrinkToFit="0" vertical="bottom" wrapText="1"/>
    </xf>
    <xf borderId="0" fillId="2" fontId="6" numFmtId="0" xfId="0" applyAlignment="1" applyFont="1">
      <alignment horizontal="right" shrinkToFit="0" vertical="bottom" wrapText="0"/>
    </xf>
    <xf borderId="0" fillId="8" fontId="5" numFmtId="0" xfId="0" applyAlignment="1" applyFill="1" applyFont="1">
      <alignment horizontal="left" shrinkToFit="0" vertical="bottom" wrapText="0"/>
    </xf>
    <xf borderId="0" fillId="8" fontId="5" numFmtId="0" xfId="0" applyAlignment="1" applyFont="1">
      <alignment shrinkToFit="0" vertical="bottom" wrapText="0"/>
    </xf>
    <xf borderId="0" fillId="8" fontId="6" numFmtId="0" xfId="0" applyAlignment="1" applyFont="1">
      <alignment shrinkToFit="0" vertical="bottom" wrapText="1"/>
    </xf>
    <xf borderId="0" fillId="2" fontId="5" numFmtId="0" xfId="0" applyAlignment="1" applyFont="1">
      <alignment horizontal="left" shrinkToFit="0" vertical="bottom" wrapText="0"/>
    </xf>
    <xf borderId="0" fillId="2" fontId="5" numFmtId="0" xfId="0" applyAlignment="1" applyFont="1">
      <alignment shrinkToFit="0" vertical="bottom" wrapText="0"/>
    </xf>
    <xf borderId="0" fillId="4"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right" shrinkToFit="0" vertical="bottom" wrapText="0"/>
    </xf>
    <xf borderId="0" fillId="2" fontId="6" numFmtId="0" xfId="0" applyAlignment="1" applyFont="1">
      <alignment horizontal="left" shrinkToFit="0" vertical="bottom" wrapText="1"/>
    </xf>
    <xf borderId="0" fillId="2" fontId="6" numFmtId="0" xfId="0" applyAlignment="1" applyFont="1">
      <alignment horizontal="right" readingOrder="0" shrinkToFit="0" vertical="bottom" wrapText="0"/>
    </xf>
    <xf borderId="0" fillId="4" fontId="6" numFmtId="0" xfId="0" applyAlignment="1" applyFont="1">
      <alignment horizontal="right" readingOrder="0" shrinkToFit="0" vertical="bottom" wrapText="0"/>
    </xf>
    <xf borderId="0" fillId="2" fontId="9" numFmtId="0" xfId="0" applyAlignment="1" applyFont="1">
      <alignment readingOrder="0" shrinkToFit="0" vertical="bottom" wrapText="1"/>
    </xf>
    <xf borderId="0" fillId="2" fontId="5" numFmtId="0" xfId="0" applyAlignment="1" applyFont="1">
      <alignment horizontal="left" readingOrder="0" shrinkToFit="0" vertical="bottom" wrapText="1"/>
    </xf>
    <xf borderId="0" fillId="0" fontId="2" numFmtId="1" xfId="0" applyAlignment="1" applyFont="1" applyNumberFormat="1">
      <alignment shrinkToFit="0" wrapText="1"/>
    </xf>
    <xf borderId="0" fillId="0" fontId="2" numFmtId="1" xfId="0" applyAlignment="1" applyFont="1" applyNumberFormat="1">
      <alignment readingOrder="0" shrinkToFit="0" wrapText="1"/>
    </xf>
    <xf borderId="0" fillId="4" fontId="6" numFmtId="0" xfId="0" applyAlignment="1" applyFont="1">
      <alignment horizontal="left" readingOrder="0" shrinkToFit="0" vertical="bottom" wrapText="1"/>
    </xf>
    <xf borderId="0" fillId="2" fontId="5" numFmtId="0" xfId="0" applyAlignment="1" applyFont="1">
      <alignment readingOrder="0" shrinkToFit="0" vertical="bottom" wrapText="0"/>
    </xf>
    <xf borderId="0" fillId="3" fontId="5" numFmtId="0" xfId="0" applyAlignment="1" applyFont="1">
      <alignment shrinkToFit="0" vertical="bottom" wrapText="1"/>
    </xf>
    <xf borderId="0" fillId="3" fontId="5" numFmtId="0" xfId="0" applyAlignment="1" applyFont="1">
      <alignment readingOrder="0" shrinkToFit="0" vertical="bottom" wrapText="0"/>
    </xf>
    <xf borderId="0" fillId="0" fontId="2" numFmtId="0" xfId="0" applyAlignment="1" applyFont="1">
      <alignment horizontal="right" readingOrder="0" shrinkToFit="0" wrapText="1"/>
    </xf>
    <xf borderId="0" fillId="3" fontId="5" numFmtId="0" xfId="0" applyAlignment="1" applyFont="1">
      <alignment readingOrder="0" shrinkToFit="0" vertical="center" wrapText="1"/>
    </xf>
    <xf borderId="0" fillId="3" fontId="5" numFmtId="0" xfId="0" applyAlignment="1" applyFont="1">
      <alignment shrinkToFit="0" vertical="center" wrapText="1"/>
    </xf>
    <xf borderId="0" fillId="3" fontId="5" numFmtId="0" xfId="0" applyAlignment="1" applyFont="1">
      <alignment horizontal="center" shrinkToFit="0" vertical="center" wrapText="1"/>
    </xf>
    <xf borderId="0" fillId="3" fontId="5" numFmtId="4" xfId="0" applyAlignment="1" applyFont="1" applyNumberFormat="1">
      <alignment shrinkToFit="0" vertical="center" wrapText="1"/>
    </xf>
    <xf borderId="0" fillId="3" fontId="6" numFmtId="4" xfId="0" applyAlignment="1" applyFont="1" applyNumberFormat="1">
      <alignment shrinkToFit="0" vertical="center" wrapText="1"/>
    </xf>
    <xf borderId="0" fillId="3" fontId="6" numFmtId="0" xfId="0" applyAlignment="1" applyFont="1">
      <alignment shrinkToFit="0" vertical="center" wrapText="1"/>
    </xf>
    <xf borderId="0" fillId="3" fontId="1" numFmtId="0" xfId="0" applyAlignment="1" applyFont="1">
      <alignment shrinkToFit="0" vertical="center" wrapText="1"/>
    </xf>
    <xf borderId="0" fillId="2" fontId="5" numFmtId="0" xfId="0" applyAlignment="1" applyFont="1">
      <alignment shrinkToFit="0" vertical="center" wrapText="1"/>
    </xf>
    <xf borderId="0" fillId="5" fontId="6" numFmtId="0" xfId="0" applyAlignment="1" applyFont="1">
      <alignment horizontal="center" readingOrder="0" shrinkToFit="0" vertical="center" wrapText="1"/>
    </xf>
    <xf borderId="0" fillId="2" fontId="6" numFmtId="4" xfId="0" applyAlignment="1" applyFont="1" applyNumberFormat="1">
      <alignment shrinkToFit="0" vertical="center" wrapText="1"/>
    </xf>
    <xf borderId="0" fillId="8" fontId="10" numFmtId="4" xfId="0" applyAlignment="1" applyFont="1" applyNumberFormat="1">
      <alignment horizontal="center" shrinkToFit="0" vertical="center" wrapText="1"/>
    </xf>
    <xf borderId="0" fillId="8" fontId="10" numFmtId="0" xfId="0" applyAlignment="1" applyFont="1">
      <alignment horizontal="center" shrinkToFit="0" vertical="center" wrapText="1"/>
    </xf>
    <xf borderId="0" fillId="2" fontId="2" numFmtId="0" xfId="0" applyAlignment="1" applyFont="1">
      <alignment shrinkToFit="0" vertical="center" wrapText="1"/>
    </xf>
    <xf borderId="0" fillId="4" fontId="5" numFmtId="0" xfId="0" applyAlignment="1" applyFont="1">
      <alignment shrinkToFit="0" vertical="center" wrapText="1"/>
    </xf>
    <xf borderId="0" fillId="4" fontId="6" numFmtId="4" xfId="0" applyAlignment="1" applyFont="1" applyNumberFormat="1">
      <alignment shrinkToFit="0" vertical="center" wrapText="1"/>
    </xf>
    <xf borderId="0" fillId="4" fontId="2" numFmtId="0" xfId="0" applyAlignment="1" applyFont="1">
      <alignment shrinkToFit="0" vertical="center" wrapText="1"/>
    </xf>
    <xf borderId="0" fillId="4" fontId="6" numFmtId="0" xfId="0" applyAlignment="1" applyFont="1">
      <alignment shrinkToFit="0" vertical="center" wrapText="1"/>
    </xf>
    <xf borderId="0" fillId="2" fontId="6" numFmtId="0" xfId="0" applyAlignment="1" applyFont="1">
      <alignment shrinkToFit="0" vertical="center" wrapText="1"/>
    </xf>
    <xf borderId="0" fillId="7" fontId="6" numFmtId="0" xfId="0" applyAlignment="1" applyFont="1">
      <alignment horizontal="center" shrinkToFit="0" vertical="center" wrapText="1"/>
    </xf>
    <xf borderId="0" fillId="7" fontId="6" numFmtId="0" xfId="0" applyAlignment="1" applyFont="1">
      <alignment readingOrder="0" shrinkToFit="0" vertical="center" wrapText="1"/>
    </xf>
    <xf borderId="0" fillId="5" fontId="6" numFmtId="0" xfId="0" applyAlignment="1" applyFont="1">
      <alignment horizontal="center" shrinkToFit="0" vertical="center" wrapText="1"/>
    </xf>
    <xf borderId="0" fillId="4" fontId="5" numFmtId="0" xfId="0" applyAlignment="1" applyFont="1">
      <alignment readingOrder="0" shrinkToFit="0" vertical="center" wrapText="1"/>
    </xf>
    <xf borderId="0" fillId="5" fontId="6" numFmtId="0" xfId="0" applyAlignment="1" applyFont="1">
      <alignment horizontal="center" shrinkToFit="0" vertical="center" wrapText="1"/>
    </xf>
    <xf borderId="0" fillId="2" fontId="1" numFmtId="0" xfId="0" applyAlignment="1" applyFont="1">
      <alignment shrinkToFit="0" wrapText="0"/>
    </xf>
    <xf borderId="0" fillId="2" fontId="1" numFmtId="0" xfId="0" applyAlignment="1" applyFont="1">
      <alignment shrinkToFit="0" wrapText="0"/>
    </xf>
    <xf borderId="0" fillId="4" fontId="2"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Story Points Realized per Sprint</a:t>
            </a:r>
          </a:p>
        </c:rich>
      </c:tx>
      <c:overlay val="0"/>
    </c:title>
    <c:plotArea>
      <c:layout/>
      <c:barChart>
        <c:barDir val="col"/>
        <c:ser>
          <c:idx val="0"/>
          <c:order val="0"/>
          <c:tx>
            <c:strRef>
              <c:f>'Velocity Tracking'!$B$1</c:f>
            </c:strRef>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'Velocity Tracking'!$A$2:$A$13</c:f>
            </c:strRef>
          </c:cat>
          <c:val>
            <c:numRef>
              <c:f>'Velocity Tracking'!$B$2:$B$12</c:f>
              <c:numCache/>
            </c:numRef>
          </c:val>
        </c:ser>
        <c:ser>
          <c:idx val="1"/>
          <c:order val="1"/>
          <c:tx>
            <c:strRef>
              <c:f>'Velocity Chart'!$B$7</c:f>
            </c:strRef>
          </c:tx>
          <c:spPr>
            <a:solidFill>
              <a:srgbClr val="DB4437">
                <a:alpha val="0"/>
              </a:srgbClr>
            </a:solidFill>
            <a:ln cmpd="sng">
              <a:solidFill>
                <a:srgbClr val="000000">
                  <a:alpha val="0"/>
                </a:srgbClr>
              </a:solidFill>
              <a:prstDash val="solid"/>
            </a:ln>
          </c:spPr>
          <c:trendline>
            <c:name>Average Velocity</c:name>
            <c:spPr>
              <a:ln w="9525">
                <a:solidFill>
                  <a:srgbClr val="000000"/>
                </a:solidFill>
              </a:ln>
            </c:spPr>
            <c:trendlineType val="linear"/>
            <c:dispRSqr val="0"/>
            <c:dispEq val="0"/>
          </c:trendline>
          <c:cat>
            <c:strRef>
              <c:f>'Velocity Tracking'!$A$2:$A$13</c:f>
            </c:strRef>
          </c:cat>
          <c:val>
            <c:numRef>
              <c:f>'Velocity Chart'!$B$8:$B$19</c:f>
              <c:numCache/>
            </c:numRef>
          </c:val>
        </c:ser>
        <c:axId val="1911172646"/>
        <c:axId val="1256064397"/>
      </c:barChart>
      <c:catAx>
        <c:axId val="191117264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none"/>
        <c:minorTickMark val="none"/>
        <c:spPr/>
        <c:txPr>
          <a:bodyPr/>
          <a:lstStyle/>
          <a:p>
            <a:pPr lvl="0">
              <a:defRPr b="0">
                <a:solidFill>
                  <a:srgbClr val="000000"/>
                </a:solidFill>
                <a:latin typeface="Roboto"/>
              </a:defRPr>
            </a:pPr>
          </a:p>
        </c:txPr>
        <c:crossAx val="1256064397"/>
      </c:catAx>
      <c:valAx>
        <c:axId val="1256064397"/>
        <c:scaling>
          <c:orientation val="minMax"/>
        </c:scaling>
        <c:delete val="0"/>
        <c:axPos val="l"/>
        <c:majorGridlines>
          <c:spPr>
            <a:ln>
              <a:solidFill>
                <a:srgbClr val="B7B7B7"/>
              </a:solidFill>
            </a:ln>
          </c:spPr>
        </c:maj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911172646"/>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v>Commited (Work in beginning of sprint)</c:v>
          </c:tx>
          <c:spPr>
            <a:solidFill>
              <a:srgbClr val="8B93A2"/>
            </a:solidFill>
            <a:ln cmpd="sng">
              <a:solidFill>
                <a:srgbClr val="000000"/>
              </a:solidFill>
            </a:ln>
          </c:spPr>
          <c:cat>
            <c:strRef>
              <c:f>'Velocity Tracking'!$A$2:$A$16</c:f>
            </c:strRef>
          </c:cat>
          <c:val>
            <c:numRef>
              <c:f>'Velocity Tracking'!$C$2:$C$16</c:f>
              <c:numCache/>
            </c:numRef>
          </c:val>
        </c:ser>
        <c:ser>
          <c:idx val="1"/>
          <c:order val="1"/>
          <c:tx>
            <c:v>Completed (Work actually done during sprint)</c:v>
          </c:tx>
          <c:spPr>
            <a:solidFill>
              <a:srgbClr val="53A679"/>
            </a:solidFill>
            <a:ln cmpd="sng">
              <a:solidFill>
                <a:srgbClr val="000000"/>
              </a:solidFill>
            </a:ln>
          </c:spPr>
          <c:dPt>
            <c:idx val="1"/>
          </c:dPt>
          <c:cat>
            <c:strRef>
              <c:f>'Velocity Tracking'!$A$2:$A$16</c:f>
            </c:strRef>
          </c:cat>
          <c:val>
            <c:numRef>
              <c:f>'Velocity Tracking'!$B$2:$B$16</c:f>
              <c:numCache/>
            </c:numRef>
          </c:val>
        </c:ser>
        <c:axId val="1811071139"/>
        <c:axId val="326291919"/>
      </c:barChart>
      <c:lineChart>
        <c:varyColors val="0"/>
        <c:ser>
          <c:idx val="2"/>
          <c:order val="2"/>
          <c:tx>
            <c:v>Average Realized (Work done on average)</c:v>
          </c:tx>
          <c:spPr>
            <a:ln cmpd="sng">
              <a:solidFill>
                <a:srgbClr val="5D677F">
                  <a:alpha val="100000"/>
                </a:srgbClr>
              </a:solidFill>
            </a:ln>
          </c:spPr>
          <c:marker>
            <c:symbol val="none"/>
          </c:marker>
          <c:cat>
            <c:strRef>
              <c:f>'Velocity Tracking'!$A$2:$A$16</c:f>
            </c:strRef>
          </c:cat>
          <c:val>
            <c:numRef>
              <c:f>'Velocity Tracking'!$E$2:$E$16</c:f>
              <c:numCache/>
            </c:numRef>
          </c:val>
          <c:smooth val="0"/>
        </c:ser>
        <c:axId val="1811071139"/>
        <c:axId val="326291919"/>
      </c:lineChart>
      <c:catAx>
        <c:axId val="181107113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Sprints</a:t>
                </a:r>
              </a:p>
            </c:rich>
          </c:tx>
          <c:overlay val="0"/>
        </c:title>
        <c:numFmt formatCode="General" sourceLinked="1"/>
        <c:majorTickMark val="none"/>
        <c:minorTickMark val="none"/>
        <c:spPr/>
        <c:txPr>
          <a:bodyPr/>
          <a:lstStyle/>
          <a:p>
            <a:pPr lvl="0">
              <a:defRPr b="0">
                <a:solidFill>
                  <a:srgbClr val="000000"/>
                </a:solidFill>
                <a:latin typeface="Roboto"/>
              </a:defRPr>
            </a:pPr>
          </a:p>
        </c:txPr>
        <c:crossAx val="326291919"/>
      </c:catAx>
      <c:valAx>
        <c:axId val="3262919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811071139"/>
      </c:valAx>
    </c:plotArea>
    <c:legend>
      <c:legendPos val="t"/>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lineChart>
        <c:ser>
          <c:idx val="0"/>
          <c:order val="0"/>
          <c:spPr>
            <a:ln cmpd="sng" w="9525">
              <a:solidFill>
                <a:srgbClr val="4285F4"/>
              </a:solidFill>
              <a:prstDash val="solid"/>
            </a:ln>
          </c:spPr>
          <c:marker>
            <c:symbol val="none"/>
          </c:marker>
          <c:cat>
            <c:strRef>
              <c:f>'Mid-Project Release plan'!$A$8:$A$14</c:f>
            </c:strRef>
          </c:cat>
          <c:val>
            <c:numRef>
              <c:f>'Burndown Chart'!$F$6:$F$12</c:f>
              <c:numCache/>
            </c:numRef>
          </c:val>
          <c:smooth val="0"/>
        </c:ser>
        <c:ser>
          <c:idx val="1"/>
          <c:order val="1"/>
          <c:spPr>
            <a:ln cmpd="sng" w="9525">
              <a:solidFill>
                <a:srgbClr val="000000">
                  <a:alpha val="100000"/>
                </a:srgbClr>
              </a:solidFill>
              <a:prstDash val="dash"/>
            </a:ln>
          </c:spPr>
          <c:marker>
            <c:symbol val="none"/>
          </c:marker>
          <c:dPt>
            <c:idx val="0"/>
            <c:marker>
              <c:symbol val="none"/>
            </c:marker>
          </c:dPt>
          <c:cat>
            <c:strRef>
              <c:f>'Mid-Project Release plan'!$A$8:$A$14</c:f>
            </c:strRef>
          </c:cat>
          <c:val>
            <c:numRef>
              <c:f>'Burndown Chart'!$E$6:$E$12</c:f>
              <c:numCache/>
            </c:numRef>
          </c:val>
          <c:smooth val="0"/>
        </c:ser>
        <c:axId val="1922364484"/>
        <c:axId val="1257812303"/>
      </c:lineChart>
      <c:catAx>
        <c:axId val="1922364484"/>
        <c:scaling>
          <c:orientation val="minMax"/>
          <c:max val="6.0"/>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cross"/>
        <c:minorTickMark val="none"/>
        <c:spPr/>
        <c:txPr>
          <a:bodyPr/>
          <a:lstStyle/>
          <a:p>
            <a:pPr lvl="0">
              <a:defRPr b="0">
                <a:solidFill>
                  <a:srgbClr val="000000"/>
                </a:solidFill>
                <a:latin typeface="Roboto"/>
              </a:defRPr>
            </a:pPr>
          </a:p>
        </c:txPr>
        <c:crossAx val="1257812303"/>
      </c:catAx>
      <c:valAx>
        <c:axId val="1257812303"/>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922364484"/>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Story Points Realized per Sprint</a:t>
            </a:r>
          </a:p>
        </c:rich>
      </c:tx>
      <c:overlay val="0"/>
    </c:title>
    <c:plotArea>
      <c:layout/>
      <c:barChart>
        <c:barDir val="col"/>
        <c:ser>
          <c:idx val="0"/>
          <c:order val="0"/>
          <c:tx>
            <c:strRef>
              <c:f>'Velocity Tracking'!$B$1</c:f>
            </c:strRef>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'Velocity Tracking'!$A$2:$A$13</c:f>
            </c:strRef>
          </c:cat>
          <c:val>
            <c:numRef>
              <c:f>'Velocity Tracking'!$B$2:$B$12</c:f>
              <c:numCache/>
            </c:numRef>
          </c:val>
        </c:ser>
        <c:ser>
          <c:idx val="1"/>
          <c:order val="1"/>
          <c:tx>
            <c:strRef>
              <c:f>'Final Velocity Chart'!$C$9</c:f>
            </c:strRef>
          </c:tx>
          <c:spPr>
            <a:solidFill>
              <a:srgbClr val="DB4437">
                <a:alpha val="0"/>
              </a:srgbClr>
            </a:solidFill>
            <a:ln cmpd="sng">
              <a:solidFill>
                <a:srgbClr val="000000">
                  <a:alpha val="0"/>
                </a:srgbClr>
              </a:solidFill>
              <a:prstDash val="solid"/>
            </a:ln>
          </c:spPr>
          <c:trendline>
            <c:name>Average Velocity</c:name>
            <c:spPr>
              <a:ln w="9525">
                <a:solidFill>
                  <a:srgbClr val="000000"/>
                </a:solidFill>
              </a:ln>
            </c:spPr>
            <c:trendlineType val="linear"/>
            <c:dispRSqr val="0"/>
            <c:dispEq val="0"/>
          </c:trendline>
          <c:cat>
            <c:strRef>
              <c:f>'Velocity Tracking'!$A$2:$A$13</c:f>
            </c:strRef>
          </c:cat>
          <c:val>
            <c:numRef>
              <c:f>'Final Velocity Chart'!$C$10:$C$21</c:f>
              <c:numCache/>
            </c:numRef>
          </c:val>
        </c:ser>
        <c:axId val="640779452"/>
        <c:axId val="509887723"/>
      </c:barChart>
      <c:catAx>
        <c:axId val="64077945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none"/>
        <c:minorTickMark val="none"/>
        <c:spPr/>
        <c:txPr>
          <a:bodyPr/>
          <a:lstStyle/>
          <a:p>
            <a:pPr lvl="0">
              <a:defRPr b="0">
                <a:solidFill>
                  <a:srgbClr val="000000"/>
                </a:solidFill>
                <a:latin typeface="Roboto"/>
              </a:defRPr>
            </a:pPr>
          </a:p>
        </c:txPr>
        <c:crossAx val="509887723"/>
      </c:catAx>
      <c:valAx>
        <c:axId val="509887723"/>
        <c:scaling>
          <c:orientation val="minMax"/>
        </c:scaling>
        <c:delete val="0"/>
        <c:axPos val="l"/>
        <c:majorGridlines>
          <c:spPr>
            <a:ln>
              <a:solidFill>
                <a:srgbClr val="B7B7B7"/>
              </a:solidFill>
            </a:ln>
          </c:spPr>
        </c:maj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640779452"/>
      </c:valAx>
    </c:plotArea>
    <c:legend>
      <c:legendPos val="r"/>
      <c:overlay val="0"/>
      <c:txPr>
        <a:bodyPr/>
        <a:lstStyle/>
        <a:p>
          <a:pPr lvl="0">
            <a:defRPr b="0">
              <a:solidFill>
                <a:srgbClr val="000000"/>
              </a:solidFill>
              <a:latin typeface="Roboto"/>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v>Commited (Work in beginning of sprint)</c:v>
          </c:tx>
          <c:spPr>
            <a:solidFill>
              <a:srgbClr val="8B93A2"/>
            </a:solidFill>
            <a:ln cmpd="sng">
              <a:solidFill>
                <a:srgbClr val="000000"/>
              </a:solidFill>
            </a:ln>
          </c:spPr>
          <c:cat>
            <c:strRef>
              <c:f>'Velocity Tracking'!$A$2:$A$16</c:f>
            </c:strRef>
          </c:cat>
          <c:val>
            <c:numRef>
              <c:f>'Velocity Tracking'!$C$2:$C$16</c:f>
              <c:numCache/>
            </c:numRef>
          </c:val>
        </c:ser>
        <c:ser>
          <c:idx val="1"/>
          <c:order val="1"/>
          <c:tx>
            <c:v>Completed (Work actually done during sprint)</c:v>
          </c:tx>
          <c:spPr>
            <a:solidFill>
              <a:srgbClr val="53A679"/>
            </a:solidFill>
            <a:ln cmpd="sng">
              <a:solidFill>
                <a:srgbClr val="000000"/>
              </a:solidFill>
            </a:ln>
          </c:spPr>
          <c:dPt>
            <c:idx val="1"/>
          </c:dPt>
          <c:cat>
            <c:strRef>
              <c:f>'Velocity Tracking'!$A$2:$A$16</c:f>
            </c:strRef>
          </c:cat>
          <c:val>
            <c:numRef>
              <c:f>'Velocity Tracking'!$B$2:$B$16</c:f>
              <c:numCache/>
            </c:numRef>
          </c:val>
        </c:ser>
        <c:axId val="693804162"/>
        <c:axId val="449894624"/>
      </c:barChart>
      <c:lineChart>
        <c:varyColors val="0"/>
        <c:ser>
          <c:idx val="2"/>
          <c:order val="2"/>
          <c:tx>
            <c:v>Average Realized (Work done on average)</c:v>
          </c:tx>
          <c:spPr>
            <a:ln cmpd="sng">
              <a:solidFill>
                <a:srgbClr val="5D677F">
                  <a:alpha val="100000"/>
                </a:srgbClr>
              </a:solidFill>
            </a:ln>
          </c:spPr>
          <c:marker>
            <c:symbol val="none"/>
          </c:marker>
          <c:cat>
            <c:strRef>
              <c:f>'Velocity Tracking'!$A$2:$A$16</c:f>
            </c:strRef>
          </c:cat>
          <c:val>
            <c:numRef>
              <c:f>'Velocity Tracking'!$E$2:$E$16</c:f>
              <c:numCache/>
            </c:numRef>
          </c:val>
          <c:smooth val="0"/>
        </c:ser>
        <c:axId val="693804162"/>
        <c:axId val="449894624"/>
      </c:lineChart>
      <c:catAx>
        <c:axId val="69380416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Sprints</a:t>
                </a:r>
              </a:p>
            </c:rich>
          </c:tx>
          <c:overlay val="0"/>
        </c:title>
        <c:numFmt formatCode="General" sourceLinked="1"/>
        <c:majorTickMark val="none"/>
        <c:minorTickMark val="none"/>
        <c:spPr/>
        <c:txPr>
          <a:bodyPr/>
          <a:lstStyle/>
          <a:p>
            <a:pPr lvl="0">
              <a:defRPr b="0">
                <a:solidFill>
                  <a:srgbClr val="000000"/>
                </a:solidFill>
                <a:latin typeface="Roboto"/>
              </a:defRPr>
            </a:pPr>
          </a:p>
        </c:txPr>
        <c:crossAx val="449894624"/>
      </c:catAx>
      <c:valAx>
        <c:axId val="4498946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693804162"/>
      </c:valAx>
    </c:plotArea>
    <c:legend>
      <c:legendPos val="t"/>
      <c:overlay val="0"/>
      <c:txPr>
        <a:bodyPr/>
        <a:lstStyle/>
        <a:p>
          <a:pPr lvl="0">
            <a:defRPr b="0">
              <a:solidFill>
                <a:srgbClr val="000000"/>
              </a:solidFill>
              <a:latin typeface="Roboto"/>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lineChart>
        <c:ser>
          <c:idx val="0"/>
          <c:order val="0"/>
          <c:spPr>
            <a:ln cmpd="sng" w="9525">
              <a:solidFill>
                <a:srgbClr val="4285F4"/>
              </a:solidFill>
              <a:prstDash val="solid"/>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'Final Project Release plan'!$A$8:$A$16</c:f>
            </c:strRef>
          </c:cat>
          <c:val>
            <c:numRef>
              <c:f>'Final Burndown Chart'!$F$7:$F$15</c:f>
              <c:numCache/>
            </c:numRef>
          </c:val>
          <c:smooth val="0"/>
        </c:ser>
        <c:ser>
          <c:idx val="1"/>
          <c:order val="1"/>
          <c:spPr>
            <a:ln cmpd="sng" w="9525">
              <a:solidFill>
                <a:srgbClr val="000000">
                  <a:alpha val="100000"/>
                </a:srgbClr>
              </a:solidFill>
              <a:prstDash val="dash"/>
            </a:ln>
          </c:spPr>
          <c:marker>
            <c:symbol val="none"/>
          </c:marker>
          <c:dPt>
            <c:idx val="0"/>
            <c:marker>
              <c:symbol val="none"/>
            </c:marker>
          </c:dPt>
          <c:cat>
            <c:strRef>
              <c:f>'Final Project Release plan'!$A$8:$A$16</c:f>
            </c:strRef>
          </c:cat>
          <c:val>
            <c:numRef>
              <c:f>'Final Burndown Chart'!$E$7:$E$15</c:f>
              <c:numCache/>
            </c:numRef>
          </c:val>
          <c:smooth val="0"/>
        </c:ser>
        <c:axId val="258118676"/>
        <c:axId val="460511534"/>
      </c:lineChart>
      <c:catAx>
        <c:axId val="258118676"/>
        <c:scaling>
          <c:orientation val="minMax"/>
          <c:max val="8.0"/>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cross"/>
        <c:minorTickMark val="none"/>
        <c:spPr/>
        <c:txPr>
          <a:bodyPr/>
          <a:lstStyle/>
          <a:p>
            <a:pPr lvl="0">
              <a:defRPr b="0">
                <a:solidFill>
                  <a:srgbClr val="000000"/>
                </a:solidFill>
                <a:latin typeface="Roboto"/>
              </a:defRPr>
            </a:pPr>
          </a:p>
        </c:txPr>
        <c:crossAx val="460511534"/>
      </c:catAx>
      <c:valAx>
        <c:axId val="460511534"/>
        <c:scaling>
          <c:orientation val="minMax"/>
          <c:max val="120.0"/>
        </c:scaling>
        <c:delete val="0"/>
        <c:axPos val="l"/>
        <c:majorGridlines>
          <c:spPr>
            <a:ln>
              <a:solidFill>
                <a:srgbClr val="B7B7B7"/>
              </a:solidFill>
            </a:ln>
          </c:spPr>
        </c:maj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58118676"/>
      </c:valAx>
    </c:plotArea>
    <c:plotVisOnly val="1"/>
  </c:chart>
</c:chartSpace>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1</xdr:row>
      <xdr:rowOff>9525</xdr:rowOff>
    </xdr:from>
    <xdr:ext cx="6343650" cy="39243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276225</xdr:colOff>
      <xdr:row>33</xdr:row>
      <xdr:rowOff>152400</xdr:rowOff>
    </xdr:from>
    <xdr:ext cx="6343650" cy="3924300"/>
    <xdr:graphicFrame>
      <xdr:nvGraphicFramePr>
        <xdr:cNvPr id="2" name="Chart 2" title="Diagram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361950</xdr:colOff>
      <xdr:row>1</xdr:row>
      <xdr:rowOff>104775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638175</xdr:colOff>
      <xdr:row>2</xdr:row>
      <xdr:rowOff>19050</xdr:rowOff>
    </xdr:from>
    <xdr:ext cx="6343650" cy="392430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276225</xdr:colOff>
      <xdr:row>33</xdr:row>
      <xdr:rowOff>152400</xdr:rowOff>
    </xdr:from>
    <xdr:ext cx="6343650" cy="3924300"/>
    <xdr:graphicFrame>
      <xdr:nvGraphicFramePr>
        <xdr:cNvPr id="5" name="Chart 5" title="Diagram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361950</xdr:colOff>
      <xdr:row>1</xdr:row>
      <xdr:rowOff>104775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Project 2 - NIM - Automated Thematic Analysis"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41" displayName="Table_4" name="Table_4" id="4">
  <tableColumns count="2">
    <tableColumn name="Goals" id="1"/>
    <tableColumn name="Having Fun"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E20" displayName="Table_7" name="Table_7" id="7">
  <tableColumns count="5">
    <tableColumn name="Sprint #" id="1"/>
    <tableColumn name="Story Points Realized" id="2"/>
    <tableColumn name="Story Points Planned" id="3"/>
    <tableColumn name="Average Planned" id="4"/>
    <tableColumn name="Average Realized" id="5"/>
  </tableColumns>
  <tableStyleInfo name="Velocity Tracking-style" showColumnStripes="0" showFirstColumn="1" showLastColumn="1" showRowStripes="1"/>
</table>
</file>

<file path=xl/tables/table8.xml><?xml version="1.0" encoding="utf-8"?>
<table xmlns="http://schemas.openxmlformats.org/spreadsheetml/2006/main" ref="A1:G62"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67"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17"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27"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4229233763?pwd=MboXckMTe5aVIBRIwvO71OgqjXJ7zb.1" TargetMode="External"/><Relationship Id="rId2" Type="http://schemas.openxmlformats.org/officeDocument/2006/relationships/hyperlink" Target="https://github.com/amosproj/amos2026ss02-automated-thematic-analysis" TargetMode="External"/><Relationship Id="rId3" Type="http://schemas.openxmlformats.org/officeDocument/2006/relationships/hyperlink" Target="https://github.com/orgs/amosproj/projects/98" TargetMode="External"/><Relationship Id="rId4" Type="http://schemas.openxmlformats.org/officeDocument/2006/relationships/hyperlink" Target="https://github.com/orgs/amosproj/projects/102" TargetMode="External"/><Relationship Id="rId9" Type="http://schemas.openxmlformats.org/officeDocument/2006/relationships/table" Target="../tables/table1.xml"/><Relationship Id="rId5" Type="http://schemas.openxmlformats.org/officeDocument/2006/relationships/hyperlink" Target="https://github.com/amosproj/amos2026ss02-automated-thematic-analysis/blob/main/Deliverables/sprint-01/team-logo.svg" TargetMode="External"/><Relationship Id="rId6" Type="http://schemas.openxmlformats.org/officeDocument/2006/relationships/hyperlink" Target="https://github.com/amosproj/amos2026ss02-automated-thematic-analysis/blob/main/Deliverables/sprint-01/team-logo.svg"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atlassian.com/git/tutorials/comparing-workflows/gitflow-workflow" TargetMode="External"/><Relationship Id="rId2" Type="http://schemas.openxmlformats.org/officeDocument/2006/relationships/drawing" Target="../drawings/drawing4.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drawing" Target="../drawings/drawing9.xm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drawing" Target="../drawings/drawing12.xml"/><Relationship Id="rId4"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6" t="s">
        <v>8</v>
      </c>
    </row>
    <row r="9">
      <c r="A9" s="4" t="s">
        <v>9</v>
      </c>
      <c r="B9" s="6" t="s">
        <v>10</v>
      </c>
    </row>
    <row r="10">
      <c r="A10" s="4" t="s">
        <v>11</v>
      </c>
      <c r="B10" s="6" t="s">
        <v>12</v>
      </c>
    </row>
    <row r="11">
      <c r="A11" s="1"/>
      <c r="B11" s="3"/>
    </row>
    <row r="12">
      <c r="A12" s="7" t="s">
        <v>13</v>
      </c>
      <c r="B12" s="2" t="s">
        <v>14</v>
      </c>
    </row>
    <row r="13">
      <c r="A13" s="4" t="s">
        <v>15</v>
      </c>
      <c r="B13" s="6" t="s">
        <v>16</v>
      </c>
    </row>
    <row r="14">
      <c r="A14" s="4" t="s">
        <v>17</v>
      </c>
      <c r="B14" s="5" t="s">
        <v>16</v>
      </c>
    </row>
    <row r="15">
      <c r="A15" s="1"/>
      <c r="B15" s="3"/>
    </row>
    <row r="16">
      <c r="A16" s="1" t="s">
        <v>18</v>
      </c>
      <c r="B16" s="3" t="s">
        <v>5</v>
      </c>
    </row>
    <row r="17">
      <c r="A17" s="1"/>
      <c r="B17" s="3"/>
    </row>
    <row r="18">
      <c r="A18" s="4" t="s">
        <v>19</v>
      </c>
      <c r="B18" s="2" t="s">
        <v>20</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s>
  <printOptions gridLines="1" horizontalCentered="1"/>
  <pageMargins bottom="0.75" footer="0.0" header="0.0" left="0.7" right="0.7" top="0.75"/>
  <pageSetup fitToHeight="0" paperSize="9" cellComments="atEnd" orientation="landscape" pageOrder="overThenDown"/>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8" t="s">
        <v>21</v>
      </c>
      <c r="B1" s="8" t="s">
        <v>22</v>
      </c>
      <c r="C1" s="8" t="s">
        <v>23</v>
      </c>
      <c r="D1" s="8" t="s">
        <v>24</v>
      </c>
    </row>
    <row r="2">
      <c r="A2" s="9" t="s">
        <v>25</v>
      </c>
      <c r="B2" s="9" t="s">
        <v>26</v>
      </c>
      <c r="C2" s="9" t="s">
        <v>27</v>
      </c>
      <c r="D2" s="9" t="s">
        <v>28</v>
      </c>
    </row>
    <row r="3">
      <c r="A3" s="9" t="s">
        <v>29</v>
      </c>
      <c r="B3" s="9" t="s">
        <v>30</v>
      </c>
      <c r="C3" s="10" t="s">
        <v>31</v>
      </c>
      <c r="D3" s="11" t="s">
        <v>32</v>
      </c>
    </row>
    <row r="4">
      <c r="A4" s="9" t="s">
        <v>33</v>
      </c>
      <c r="B4" s="9" t="s">
        <v>34</v>
      </c>
      <c r="C4" s="9" t="s">
        <v>35</v>
      </c>
      <c r="D4" s="9" t="s">
        <v>36</v>
      </c>
    </row>
    <row r="5">
      <c r="A5" s="9" t="s">
        <v>37</v>
      </c>
      <c r="B5" s="9" t="s">
        <v>38</v>
      </c>
      <c r="C5" s="9" t="s">
        <v>39</v>
      </c>
      <c r="D5" s="12" t="s">
        <v>40</v>
      </c>
    </row>
    <row r="6">
      <c r="A6" s="9" t="s">
        <v>41</v>
      </c>
      <c r="B6" s="9" t="s">
        <v>42</v>
      </c>
      <c r="C6" s="9" t="s">
        <v>43</v>
      </c>
      <c r="D6" s="9" t="s">
        <v>44</v>
      </c>
    </row>
    <row r="7">
      <c r="A7" s="9" t="s">
        <v>45</v>
      </c>
      <c r="B7" s="9" t="s">
        <v>46</v>
      </c>
      <c r="C7" s="9" t="s">
        <v>47</v>
      </c>
      <c r="D7" s="9" t="s">
        <v>48</v>
      </c>
    </row>
    <row r="8">
      <c r="A8" s="9" t="s">
        <v>49</v>
      </c>
      <c r="B8" s="9" t="s">
        <v>34</v>
      </c>
      <c r="C8" s="9" t="s">
        <v>50</v>
      </c>
      <c r="D8" s="9" t="s">
        <v>51</v>
      </c>
    </row>
    <row r="9">
      <c r="A9" s="9" t="s">
        <v>52</v>
      </c>
      <c r="B9" s="9" t="s">
        <v>53</v>
      </c>
      <c r="C9" s="9" t="s">
        <v>54</v>
      </c>
      <c r="D9" s="11" t="s">
        <v>55</v>
      </c>
    </row>
    <row r="10">
      <c r="A10" s="9" t="s">
        <v>56</v>
      </c>
      <c r="B10" s="9" t="s">
        <v>57</v>
      </c>
      <c r="C10" s="9" t="s">
        <v>58</v>
      </c>
      <c r="D10" s="9" t="s">
        <v>59</v>
      </c>
    </row>
    <row r="11">
      <c r="A11" s="9" t="s">
        <v>60</v>
      </c>
      <c r="B11" s="9" t="s">
        <v>61</v>
      </c>
      <c r="C11" s="9" t="s">
        <v>62</v>
      </c>
      <c r="D11" s="9" t="s">
        <v>63</v>
      </c>
    </row>
    <row r="12">
      <c r="A12" s="13"/>
      <c r="B12" s="13"/>
      <c r="C12" s="13"/>
      <c r="D12" s="13"/>
    </row>
    <row r="13">
      <c r="A13" s="8"/>
      <c r="B13" s="14"/>
      <c r="C13" s="14"/>
      <c r="D13" s="14"/>
    </row>
    <row r="14">
      <c r="A14" s="13"/>
      <c r="B14" s="9"/>
      <c r="C14" s="13"/>
      <c r="D14" s="13"/>
    </row>
    <row r="15">
      <c r="A15" s="13"/>
      <c r="B15" s="9"/>
      <c r="C15" s="13"/>
      <c r="D15" s="13"/>
    </row>
    <row r="16">
      <c r="A16" s="13"/>
      <c r="B16" s="13"/>
      <c r="C16" s="13"/>
      <c r="D16" s="13"/>
    </row>
    <row r="17">
      <c r="A17" s="13"/>
      <c r="B17" s="13"/>
      <c r="C17" s="13"/>
      <c r="D17" s="13"/>
    </row>
    <row r="18">
      <c r="A18" s="13"/>
      <c r="B18" s="13"/>
      <c r="C18" s="13"/>
      <c r="D18" s="13"/>
    </row>
    <row r="19">
      <c r="A19" s="13"/>
      <c r="B19" s="13"/>
      <c r="C19" s="13"/>
      <c r="D19" s="13"/>
    </row>
    <row r="20">
      <c r="A20" s="13"/>
      <c r="B20" s="13"/>
      <c r="C20" s="13"/>
      <c r="D20" s="13"/>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5"/>
      <c r="B1" s="15"/>
      <c r="C1" s="15" t="s">
        <v>64</v>
      </c>
      <c r="E1" s="15"/>
      <c r="F1" s="16"/>
      <c r="G1" s="16"/>
      <c r="H1" s="15"/>
    </row>
    <row r="2">
      <c r="A2" s="17" t="s">
        <v>65</v>
      </c>
      <c r="B2" s="17" t="s">
        <v>66</v>
      </c>
      <c r="C2" s="17" t="s">
        <v>67</v>
      </c>
      <c r="D2" s="17" t="s">
        <v>68</v>
      </c>
      <c r="E2" s="17" t="s">
        <v>69</v>
      </c>
      <c r="F2" s="18" t="s">
        <v>70</v>
      </c>
      <c r="G2" s="18" t="s">
        <v>71</v>
      </c>
      <c r="H2" s="17" t="s">
        <v>72</v>
      </c>
    </row>
    <row r="3">
      <c r="A3" s="19">
        <v>1.0</v>
      </c>
      <c r="B3" s="20">
        <v>46127.0</v>
      </c>
      <c r="C3" s="9" t="s">
        <v>73</v>
      </c>
      <c r="D3" s="9" t="s">
        <v>74</v>
      </c>
      <c r="E3" s="9" t="s">
        <v>75</v>
      </c>
      <c r="F3" s="9" t="s">
        <v>76</v>
      </c>
      <c r="G3" s="9" t="s">
        <v>77</v>
      </c>
      <c r="H3" s="21"/>
    </row>
    <row r="4">
      <c r="A4" s="19">
        <v>2.0</v>
      </c>
      <c r="B4" s="22">
        <f t="shared" ref="B4:B17" si="1">B3+7</f>
        <v>46134</v>
      </c>
      <c r="C4" s="9" t="s">
        <v>73</v>
      </c>
      <c r="D4" s="9" t="s">
        <v>74</v>
      </c>
      <c r="E4" s="9" t="s">
        <v>75</v>
      </c>
      <c r="F4" s="9" t="s">
        <v>78</v>
      </c>
      <c r="G4" s="9" t="s">
        <v>77</v>
      </c>
      <c r="H4" s="21"/>
    </row>
    <row r="5">
      <c r="A5" s="19">
        <v>3.0</v>
      </c>
      <c r="B5" s="22">
        <f t="shared" si="1"/>
        <v>46141</v>
      </c>
      <c r="C5" s="9" t="s">
        <v>74</v>
      </c>
      <c r="D5" s="9" t="s">
        <v>73</v>
      </c>
      <c r="E5" s="9" t="s">
        <v>75</v>
      </c>
      <c r="F5" s="9" t="s">
        <v>78</v>
      </c>
      <c r="G5" s="9" t="s">
        <v>77</v>
      </c>
      <c r="H5" s="21"/>
    </row>
    <row r="6">
      <c r="A6" s="19">
        <v>4.0</v>
      </c>
      <c r="B6" s="22">
        <f t="shared" si="1"/>
        <v>46148</v>
      </c>
      <c r="C6" s="9" t="s">
        <v>73</v>
      </c>
      <c r="D6" s="9" t="s">
        <v>74</v>
      </c>
      <c r="E6" s="9" t="s">
        <v>75</v>
      </c>
      <c r="F6" s="23" t="s">
        <v>79</v>
      </c>
      <c r="G6" s="9" t="s">
        <v>77</v>
      </c>
      <c r="H6" s="21"/>
    </row>
    <row r="7">
      <c r="A7" s="19">
        <v>5.0</v>
      </c>
      <c r="B7" s="22">
        <f t="shared" si="1"/>
        <v>46155</v>
      </c>
      <c r="C7" s="9" t="s">
        <v>74</v>
      </c>
      <c r="D7" s="9" t="s">
        <v>73</v>
      </c>
      <c r="E7" s="9" t="s">
        <v>75</v>
      </c>
      <c r="F7" s="9" t="s">
        <v>80</v>
      </c>
      <c r="G7" s="9" t="s">
        <v>77</v>
      </c>
      <c r="H7" s="21"/>
    </row>
    <row r="8">
      <c r="A8" s="19">
        <v>6.0</v>
      </c>
      <c r="B8" s="22">
        <f t="shared" si="1"/>
        <v>46162</v>
      </c>
      <c r="C8" s="9" t="s">
        <v>73</v>
      </c>
      <c r="D8" s="9" t="s">
        <v>74</v>
      </c>
      <c r="E8" s="9" t="s">
        <v>75</v>
      </c>
      <c r="F8" s="9" t="s">
        <v>80</v>
      </c>
      <c r="G8" s="9" t="s">
        <v>77</v>
      </c>
      <c r="H8" s="21"/>
    </row>
    <row r="9">
      <c r="A9" s="19">
        <v>7.0</v>
      </c>
      <c r="B9" s="22">
        <f t="shared" si="1"/>
        <v>46169</v>
      </c>
      <c r="C9" s="9" t="s">
        <v>74</v>
      </c>
      <c r="D9" s="9" t="s">
        <v>73</v>
      </c>
      <c r="E9" s="9" t="s">
        <v>75</v>
      </c>
      <c r="F9" s="9" t="s">
        <v>81</v>
      </c>
      <c r="G9" s="9" t="s">
        <v>77</v>
      </c>
      <c r="H9" s="24" t="s">
        <v>82</v>
      </c>
    </row>
    <row r="10">
      <c r="A10" s="19">
        <v>8.0</v>
      </c>
      <c r="B10" s="22">
        <f t="shared" si="1"/>
        <v>46176</v>
      </c>
      <c r="C10" s="9" t="s">
        <v>73</v>
      </c>
      <c r="D10" s="9" t="s">
        <v>74</v>
      </c>
      <c r="E10" s="9" t="s">
        <v>75</v>
      </c>
      <c r="F10" s="9" t="s">
        <v>79</v>
      </c>
      <c r="G10" s="9" t="s">
        <v>77</v>
      </c>
      <c r="H10" s="21"/>
    </row>
    <row r="11">
      <c r="A11" s="19">
        <v>9.0</v>
      </c>
      <c r="B11" s="22">
        <f t="shared" si="1"/>
        <v>46183</v>
      </c>
      <c r="C11" s="9" t="s">
        <v>74</v>
      </c>
      <c r="D11" s="9" t="s">
        <v>73</v>
      </c>
      <c r="E11" s="9" t="s">
        <v>75</v>
      </c>
      <c r="F11" s="9" t="s">
        <v>81</v>
      </c>
      <c r="G11" s="9" t="s">
        <v>77</v>
      </c>
      <c r="H11" s="21"/>
    </row>
    <row r="12">
      <c r="A12" s="19">
        <v>10.0</v>
      </c>
      <c r="B12" s="22">
        <f t="shared" si="1"/>
        <v>46190</v>
      </c>
      <c r="C12" s="9" t="s">
        <v>73</v>
      </c>
      <c r="D12" s="9" t="s">
        <v>74</v>
      </c>
      <c r="E12" s="9" t="s">
        <v>75</v>
      </c>
      <c r="F12" s="9" t="s">
        <v>83</v>
      </c>
      <c r="G12" s="9" t="s">
        <v>77</v>
      </c>
      <c r="H12" s="21"/>
    </row>
    <row r="13">
      <c r="A13" s="19">
        <v>11.0</v>
      </c>
      <c r="B13" s="22">
        <f t="shared" si="1"/>
        <v>46197</v>
      </c>
      <c r="C13" s="9" t="s">
        <v>74</v>
      </c>
      <c r="D13" s="9" t="s">
        <v>73</v>
      </c>
      <c r="E13" s="9" t="s">
        <v>75</v>
      </c>
      <c r="F13" s="23" t="s">
        <v>84</v>
      </c>
      <c r="G13" s="9" t="s">
        <v>77</v>
      </c>
      <c r="H13" s="21"/>
    </row>
    <row r="14">
      <c r="A14" s="19">
        <v>12.0</v>
      </c>
      <c r="B14" s="22">
        <f t="shared" si="1"/>
        <v>46204</v>
      </c>
      <c r="C14" s="9" t="s">
        <v>73</v>
      </c>
      <c r="D14" s="9" t="s">
        <v>74</v>
      </c>
      <c r="E14" s="9" t="s">
        <v>75</v>
      </c>
      <c r="F14" s="9" t="s">
        <v>84</v>
      </c>
      <c r="G14" s="9" t="s">
        <v>77</v>
      </c>
      <c r="H14" s="21"/>
    </row>
    <row r="15">
      <c r="A15" s="19">
        <v>13.0</v>
      </c>
      <c r="B15" s="22">
        <f t="shared" si="1"/>
        <v>46211</v>
      </c>
      <c r="C15" s="9" t="s">
        <v>74</v>
      </c>
      <c r="D15" s="9" t="s">
        <v>73</v>
      </c>
      <c r="E15" s="9" t="s">
        <v>75</v>
      </c>
      <c r="F15" s="9" t="s">
        <v>83</v>
      </c>
      <c r="G15" s="9" t="s">
        <v>77</v>
      </c>
      <c r="H15" s="21"/>
    </row>
    <row r="16">
      <c r="A16" s="19">
        <v>14.0</v>
      </c>
      <c r="B16" s="22">
        <f t="shared" si="1"/>
        <v>46218</v>
      </c>
      <c r="C16" s="9" t="s">
        <v>73</v>
      </c>
      <c r="D16" s="9" t="s">
        <v>74</v>
      </c>
      <c r="E16" s="9" t="s">
        <v>75</v>
      </c>
      <c r="F16" s="9" t="s">
        <v>85</v>
      </c>
      <c r="G16" s="9" t="s">
        <v>77</v>
      </c>
      <c r="H16" s="24" t="s">
        <v>86</v>
      </c>
    </row>
    <row r="17">
      <c r="A17" s="19">
        <v>15.0</v>
      </c>
      <c r="B17" s="22">
        <f t="shared" si="1"/>
        <v>46225</v>
      </c>
      <c r="C17" s="9" t="s">
        <v>74</v>
      </c>
      <c r="D17" s="9" t="s">
        <v>73</v>
      </c>
      <c r="E17" s="9" t="s">
        <v>75</v>
      </c>
      <c r="F17" s="9" t="s">
        <v>85</v>
      </c>
      <c r="G17" s="9" t="s">
        <v>77</v>
      </c>
      <c r="H17" s="24" t="s">
        <v>87</v>
      </c>
    </row>
    <row r="18">
      <c r="A18" s="19"/>
      <c r="B18" s="25"/>
      <c r="C18" s="13"/>
      <c r="D18" s="13"/>
      <c r="E18" s="13"/>
      <c r="F18" s="13"/>
      <c r="G18" s="13"/>
      <c r="H18" s="26"/>
    </row>
    <row r="19">
      <c r="A19" s="24" t="s">
        <v>88</v>
      </c>
      <c r="B19" s="27"/>
      <c r="C19" s="28"/>
      <c r="D19" s="28"/>
      <c r="E19" s="28"/>
      <c r="F19" s="28"/>
      <c r="G19" s="28"/>
      <c r="H19" s="26"/>
    </row>
    <row r="20">
      <c r="A20" s="28"/>
      <c r="B20" s="25"/>
      <c r="C20" s="13"/>
      <c r="D20" s="13"/>
      <c r="E20" s="13"/>
      <c r="F20" s="13"/>
      <c r="G20" s="13"/>
      <c r="H20" s="26"/>
    </row>
    <row r="21">
      <c r="A21" s="19"/>
      <c r="B21" s="25"/>
      <c r="C21" s="13"/>
      <c r="D21" s="13"/>
      <c r="E21" s="13"/>
      <c r="F21" s="13"/>
      <c r="G21" s="13"/>
      <c r="H21" s="26"/>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9" t="s">
        <v>89</v>
      </c>
      <c r="B1" s="30" t="s">
        <v>90</v>
      </c>
    </row>
    <row r="2" ht="12.0" customHeight="1">
      <c r="A2" s="31"/>
      <c r="B2" s="32" t="s">
        <v>91</v>
      </c>
    </row>
    <row r="3" ht="12.0" customHeight="1">
      <c r="A3" s="31"/>
      <c r="B3" s="33" t="s">
        <v>92</v>
      </c>
    </row>
    <row r="4">
      <c r="A4" s="34" t="s">
        <v>93</v>
      </c>
      <c r="B4" s="30" t="s">
        <v>94</v>
      </c>
    </row>
    <row r="5">
      <c r="A5" s="31"/>
      <c r="B5" s="32" t="s">
        <v>95</v>
      </c>
    </row>
    <row r="6">
      <c r="A6" s="31"/>
      <c r="B6" s="32" t="s">
        <v>96</v>
      </c>
    </row>
    <row r="7">
      <c r="A7" s="31"/>
      <c r="B7" s="32" t="s">
        <v>97</v>
      </c>
    </row>
    <row r="8">
      <c r="A8" s="31"/>
      <c r="B8" s="32" t="s">
        <v>98</v>
      </c>
    </row>
    <row r="9">
      <c r="A9" s="31"/>
      <c r="B9" s="32" t="s">
        <v>99</v>
      </c>
    </row>
    <row r="10">
      <c r="A10" s="34" t="s">
        <v>100</v>
      </c>
      <c r="B10" s="30" t="s">
        <v>101</v>
      </c>
    </row>
    <row r="11">
      <c r="A11" s="31"/>
      <c r="B11" s="32" t="s">
        <v>102</v>
      </c>
    </row>
    <row r="12">
      <c r="A12" s="34" t="s">
        <v>103</v>
      </c>
      <c r="B12" s="30" t="s">
        <v>104</v>
      </c>
    </row>
    <row r="13">
      <c r="A13" s="31"/>
      <c r="B13" s="32" t="s">
        <v>105</v>
      </c>
    </row>
    <row r="14">
      <c r="A14" s="31"/>
      <c r="B14" s="32" t="s">
        <v>106</v>
      </c>
    </row>
    <row r="15">
      <c r="A15" s="31"/>
      <c r="B15" s="35" t="s">
        <v>107</v>
      </c>
    </row>
    <row r="16">
      <c r="A16" s="31"/>
      <c r="B16" s="32" t="s">
        <v>108</v>
      </c>
    </row>
    <row r="17">
      <c r="A17" s="31"/>
      <c r="B17" s="32" t="s">
        <v>109</v>
      </c>
    </row>
    <row r="18">
      <c r="A18" s="34" t="s">
        <v>110</v>
      </c>
      <c r="B18" s="30" t="s">
        <v>111</v>
      </c>
    </row>
    <row r="19">
      <c r="A19" s="31"/>
      <c r="B19" s="32" t="s">
        <v>112</v>
      </c>
    </row>
    <row r="20">
      <c r="A20" s="34" t="s">
        <v>113</v>
      </c>
      <c r="B20" s="30" t="s">
        <v>114</v>
      </c>
    </row>
    <row r="21">
      <c r="A21" s="36"/>
      <c r="B21" s="32" t="s">
        <v>115</v>
      </c>
    </row>
    <row r="22">
      <c r="A22" s="36"/>
      <c r="B22" s="32" t="s">
        <v>116</v>
      </c>
    </row>
    <row r="23">
      <c r="A23" s="36"/>
      <c r="B23" s="32"/>
    </row>
    <row r="24">
      <c r="A24" s="34" t="s">
        <v>117</v>
      </c>
      <c r="B24" s="30" t="s">
        <v>118</v>
      </c>
    </row>
    <row r="25">
      <c r="A25" s="36"/>
      <c r="B25" s="32" t="s">
        <v>119</v>
      </c>
    </row>
    <row r="26">
      <c r="A26" s="37" t="s">
        <v>120</v>
      </c>
      <c r="B26" s="30" t="s">
        <v>121</v>
      </c>
    </row>
    <row r="27">
      <c r="A27" s="36"/>
      <c r="B27" s="36"/>
    </row>
    <row r="28">
      <c r="A28" s="37" t="s">
        <v>122</v>
      </c>
      <c r="B28" s="30" t="s">
        <v>123</v>
      </c>
    </row>
    <row r="29">
      <c r="A29" s="36"/>
      <c r="B29" s="32" t="s">
        <v>124</v>
      </c>
    </row>
    <row r="30">
      <c r="A30" s="34" t="s">
        <v>125</v>
      </c>
      <c r="B30" s="37"/>
    </row>
    <row r="32">
      <c r="A32" s="38" t="s">
        <v>71</v>
      </c>
      <c r="B32" s="23" t="s">
        <v>77</v>
      </c>
    </row>
    <row r="33">
      <c r="A33" s="38" t="s">
        <v>126</v>
      </c>
      <c r="B33" s="23" t="s">
        <v>73</v>
      </c>
    </row>
    <row r="34">
      <c r="A34" s="38" t="s">
        <v>126</v>
      </c>
      <c r="B34" s="23" t="s">
        <v>74</v>
      </c>
    </row>
    <row r="35">
      <c r="A35" s="38" t="s">
        <v>127</v>
      </c>
      <c r="B35" s="23" t="s">
        <v>80</v>
      </c>
    </row>
    <row r="36">
      <c r="A36" s="38" t="s">
        <v>127</v>
      </c>
      <c r="B36" s="23" t="s">
        <v>85</v>
      </c>
    </row>
    <row r="37">
      <c r="A37" s="38" t="s">
        <v>127</v>
      </c>
      <c r="B37" s="23" t="s">
        <v>81</v>
      </c>
    </row>
    <row r="38">
      <c r="A38" s="38" t="s">
        <v>127</v>
      </c>
      <c r="B38" s="23" t="s">
        <v>78</v>
      </c>
    </row>
    <row r="39">
      <c r="A39" s="38" t="s">
        <v>127</v>
      </c>
      <c r="B39" s="23" t="s">
        <v>83</v>
      </c>
    </row>
    <row r="40">
      <c r="A40" s="38" t="s">
        <v>127</v>
      </c>
      <c r="B40" s="23" t="s">
        <v>79</v>
      </c>
    </row>
    <row r="41">
      <c r="A41" s="23" t="s">
        <v>127</v>
      </c>
      <c r="B41" s="23" t="s">
        <v>84</v>
      </c>
    </row>
  </sheetData>
  <hyperlinks>
    <hyperlink r:id="rId1" ref="B15"/>
  </hyperlinks>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128</v>
      </c>
      <c r="B1" s="39" t="s">
        <v>129</v>
      </c>
    </row>
    <row r="2">
      <c r="A2" s="40"/>
      <c r="B2" s="41"/>
    </row>
    <row r="3">
      <c r="A3" s="42" t="s">
        <v>130</v>
      </c>
      <c r="B3" s="42" t="s">
        <v>131</v>
      </c>
    </row>
  </sheetData>
  <mergeCells count="2">
    <mergeCell ref="A3:A20"/>
    <mergeCell ref="B3:B20"/>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132</v>
      </c>
      <c r="B1" s="43" t="s">
        <v>133</v>
      </c>
    </row>
    <row r="2">
      <c r="A2" s="2" t="s">
        <v>134</v>
      </c>
      <c r="B2" s="2" t="s">
        <v>135</v>
      </c>
    </row>
    <row r="3">
      <c r="A3" s="2" t="s">
        <v>136</v>
      </c>
      <c r="B3" s="2" t="s">
        <v>137</v>
      </c>
    </row>
    <row r="4">
      <c r="A4" s="2" t="s">
        <v>138</v>
      </c>
      <c r="B4" s="23" t="s">
        <v>139</v>
      </c>
    </row>
    <row r="5">
      <c r="A5" s="23" t="s">
        <v>140</v>
      </c>
      <c r="B5" s="23" t="s">
        <v>141</v>
      </c>
    </row>
    <row r="6">
      <c r="A6" s="23" t="s">
        <v>142</v>
      </c>
      <c r="B6" s="23" t="s">
        <v>143</v>
      </c>
    </row>
    <row r="7">
      <c r="A7" s="2" t="s">
        <v>144</v>
      </c>
      <c r="B7" s="2" t="s">
        <v>145</v>
      </c>
    </row>
    <row r="8">
      <c r="A8" s="2" t="s">
        <v>146</v>
      </c>
      <c r="B8" s="2" t="s">
        <v>147</v>
      </c>
    </row>
    <row r="9">
      <c r="A9" s="23" t="s">
        <v>148</v>
      </c>
      <c r="B9" s="2" t="s">
        <v>149</v>
      </c>
    </row>
    <row r="10">
      <c r="A10" s="23" t="s">
        <v>150</v>
      </c>
      <c r="B10" s="2" t="s">
        <v>151</v>
      </c>
    </row>
    <row r="11">
      <c r="A11" s="23" t="s">
        <v>152</v>
      </c>
      <c r="B11" s="2" t="s">
        <v>153</v>
      </c>
    </row>
    <row r="12">
      <c r="A12" s="23" t="s">
        <v>154</v>
      </c>
      <c r="B12" s="23" t="s">
        <v>155</v>
      </c>
    </row>
    <row r="13">
      <c r="A13" s="23" t="s">
        <v>156</v>
      </c>
      <c r="B13" s="23" t="s">
        <v>157</v>
      </c>
    </row>
    <row r="14">
      <c r="A14" s="23" t="s">
        <v>158</v>
      </c>
      <c r="B14" s="23" t="s">
        <v>159</v>
      </c>
    </row>
    <row r="15">
      <c r="A15" s="23" t="s">
        <v>160</v>
      </c>
      <c r="B15" s="23" t="s">
        <v>161</v>
      </c>
    </row>
    <row r="16">
      <c r="A16" s="2" t="s">
        <v>162</v>
      </c>
      <c r="B16" s="23" t="s">
        <v>163</v>
      </c>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164</v>
      </c>
      <c r="B1" s="4" t="s">
        <v>165</v>
      </c>
    </row>
    <row r="2">
      <c r="A2" s="45">
        <v>1.0</v>
      </c>
      <c r="B2" s="2" t="s">
        <v>166</v>
      </c>
    </row>
    <row r="3">
      <c r="A3" s="45">
        <f t="shared" ref="A3:A16" si="1">A2+1</f>
        <v>2</v>
      </c>
      <c r="B3" s="2" t="s">
        <v>167</v>
      </c>
    </row>
    <row r="4">
      <c r="A4" s="45">
        <f t="shared" si="1"/>
        <v>3</v>
      </c>
      <c r="B4" s="2" t="s">
        <v>168</v>
      </c>
    </row>
    <row r="5">
      <c r="A5" s="45">
        <f t="shared" si="1"/>
        <v>4</v>
      </c>
      <c r="B5" s="23" t="s">
        <v>169</v>
      </c>
    </row>
    <row r="6">
      <c r="A6" s="45">
        <f t="shared" si="1"/>
        <v>5</v>
      </c>
      <c r="B6" s="2" t="s">
        <v>170</v>
      </c>
    </row>
    <row r="7">
      <c r="A7" s="45">
        <f t="shared" si="1"/>
        <v>6</v>
      </c>
      <c r="B7" s="9" t="s">
        <v>171</v>
      </c>
    </row>
    <row r="8">
      <c r="A8" s="45">
        <f t="shared" si="1"/>
        <v>7</v>
      </c>
      <c r="B8" s="2" t="s">
        <v>172</v>
      </c>
    </row>
    <row r="9">
      <c r="A9" s="45">
        <f t="shared" si="1"/>
        <v>8</v>
      </c>
      <c r="B9" s="46" t="s">
        <v>173</v>
      </c>
    </row>
    <row r="10">
      <c r="A10" s="45">
        <f t="shared" si="1"/>
        <v>9</v>
      </c>
      <c r="B10" s="2" t="s">
        <v>174</v>
      </c>
    </row>
    <row r="11">
      <c r="A11" s="45">
        <f t="shared" si="1"/>
        <v>10</v>
      </c>
      <c r="B11" s="2" t="s">
        <v>175</v>
      </c>
    </row>
    <row r="12">
      <c r="A12" s="45">
        <f t="shared" si="1"/>
        <v>11</v>
      </c>
      <c r="B12" s="3"/>
    </row>
    <row r="13">
      <c r="A13" s="45">
        <f t="shared" si="1"/>
        <v>12</v>
      </c>
      <c r="B13" s="3"/>
    </row>
    <row r="14">
      <c r="A14" s="45">
        <f t="shared" si="1"/>
        <v>13</v>
      </c>
      <c r="B14" s="3"/>
    </row>
    <row r="15">
      <c r="A15" s="45">
        <f t="shared" si="1"/>
        <v>14</v>
      </c>
      <c r="B15" s="3"/>
    </row>
    <row r="16">
      <c r="A16" s="45">
        <f t="shared" si="1"/>
        <v>15</v>
      </c>
      <c r="B16" s="3"/>
    </row>
    <row r="17">
      <c r="A17" s="45"/>
      <c r="B17" s="3"/>
    </row>
    <row r="18">
      <c r="A18" s="45"/>
      <c r="B18" s="3"/>
    </row>
    <row r="19">
      <c r="A19" s="47"/>
      <c r="B19" s="3"/>
    </row>
    <row r="20">
      <c r="A20" s="47"/>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60.75"/>
    <col customWidth="1" min="3" max="3" width="73.88"/>
    <col customWidth="1" min="4" max="5" width="78.75"/>
  </cols>
  <sheetData>
    <row r="1">
      <c r="A1" s="44" t="s">
        <v>164</v>
      </c>
      <c r="B1" s="48" t="s">
        <v>176</v>
      </c>
      <c r="C1" s="48" t="s">
        <v>177</v>
      </c>
      <c r="D1" s="48" t="s">
        <v>178</v>
      </c>
      <c r="E1" s="48" t="s">
        <v>179</v>
      </c>
    </row>
    <row r="2">
      <c r="A2" s="45">
        <v>1.0</v>
      </c>
      <c r="B2" s="49">
        <f>'Mid-Project Release plan'!F9</f>
        <v>5</v>
      </c>
      <c r="C2" s="49">
        <f> 'Mid-Project Release plan'!D9</f>
        <v>5</v>
      </c>
      <c r="D2" s="49">
        <f> AVERAGE(C2:C16)</f>
        <v>14</v>
      </c>
      <c r="E2" s="49">
        <f> AVERAGE(B2:B16)</f>
        <v>14.71428571</v>
      </c>
    </row>
    <row r="3">
      <c r="A3" s="45">
        <f t="shared" ref="A3:A16" si="1">A2+1</f>
        <v>2</v>
      </c>
      <c r="B3" s="49">
        <f>'Mid-Project Release plan'!F10</f>
        <v>39</v>
      </c>
      <c r="C3" s="49">
        <f> 'Mid-Project Release plan'!D10</f>
        <v>19</v>
      </c>
      <c r="D3" s="49">
        <f> D2</f>
        <v>14</v>
      </c>
      <c r="E3" s="49">
        <f>E2</f>
        <v>14.71428571</v>
      </c>
    </row>
    <row r="4">
      <c r="A4" s="45">
        <f t="shared" si="1"/>
        <v>3</v>
      </c>
      <c r="B4" s="49">
        <f>'Mid-Project Release plan'!F11</f>
        <v>22</v>
      </c>
      <c r="C4" s="49">
        <f> 'Mid-Project Release plan'!D11</f>
        <v>22</v>
      </c>
      <c r="D4" s="49">
        <f> D2</f>
        <v>14</v>
      </c>
      <c r="E4" s="49">
        <f>E2</f>
        <v>14.71428571</v>
      </c>
    </row>
    <row r="5">
      <c r="A5" s="45">
        <f t="shared" si="1"/>
        <v>4</v>
      </c>
      <c r="B5" s="49">
        <f>'Mid-Project Release plan'!F12</f>
        <v>13</v>
      </c>
      <c r="C5" s="49">
        <f> 'Mid-Project Release plan'!D12</f>
        <v>10</v>
      </c>
      <c r="D5" s="49">
        <f> D2</f>
        <v>14</v>
      </c>
      <c r="E5" s="49">
        <f>E2</f>
        <v>14.71428571</v>
      </c>
    </row>
    <row r="6">
      <c r="A6" s="45">
        <f t="shared" si="1"/>
        <v>5</v>
      </c>
      <c r="B6" s="49">
        <f>'Mid-Project Release plan'!F13</f>
        <v>19</v>
      </c>
      <c r="C6" s="49">
        <f> 'Mid-Project Release plan'!D13</f>
        <v>19</v>
      </c>
      <c r="D6" s="49">
        <f> D2</f>
        <v>14</v>
      </c>
      <c r="E6" s="49">
        <f>E2</f>
        <v>14.71428571</v>
      </c>
    </row>
    <row r="7">
      <c r="A7" s="45">
        <f t="shared" si="1"/>
        <v>6</v>
      </c>
      <c r="B7" s="49">
        <v>5.0</v>
      </c>
      <c r="C7" s="50">
        <f> 'Mid-Project Release plan'!D14</f>
        <v>14</v>
      </c>
      <c r="D7" s="50">
        <f> D2</f>
        <v>14</v>
      </c>
      <c r="E7" s="50">
        <f>E2</f>
        <v>14.71428571</v>
      </c>
    </row>
    <row r="8">
      <c r="A8" s="45">
        <f t="shared" si="1"/>
        <v>7</v>
      </c>
      <c r="B8" s="49">
        <v>0.0</v>
      </c>
      <c r="C8" s="49">
        <v>9.0</v>
      </c>
      <c r="D8" s="50">
        <f> D2</f>
        <v>14</v>
      </c>
      <c r="E8" s="50">
        <f>E2</f>
        <v>14.71428571</v>
      </c>
    </row>
    <row r="9">
      <c r="A9" s="45">
        <f t="shared" si="1"/>
        <v>8</v>
      </c>
      <c r="B9" s="50"/>
      <c r="C9" s="50"/>
      <c r="D9" s="50">
        <f> D2</f>
        <v>14</v>
      </c>
      <c r="E9" s="50">
        <f>E2</f>
        <v>14.71428571</v>
      </c>
    </row>
    <row r="10">
      <c r="A10" s="45">
        <f t="shared" si="1"/>
        <v>9</v>
      </c>
      <c r="B10" s="50"/>
      <c r="C10" s="50"/>
      <c r="D10" s="50">
        <f> D2</f>
        <v>14</v>
      </c>
      <c r="E10" s="50">
        <f>E2</f>
        <v>14.71428571</v>
      </c>
    </row>
    <row r="11">
      <c r="A11" s="45">
        <f t="shared" si="1"/>
        <v>10</v>
      </c>
      <c r="B11" s="50"/>
      <c r="C11" s="50"/>
      <c r="D11" s="50">
        <f> D2</f>
        <v>14</v>
      </c>
      <c r="E11" s="50">
        <f>E2</f>
        <v>14.71428571</v>
      </c>
    </row>
    <row r="12">
      <c r="A12" s="45">
        <f t="shared" si="1"/>
        <v>11</v>
      </c>
      <c r="B12" s="50"/>
      <c r="C12" s="50"/>
      <c r="D12" s="50">
        <f> D2</f>
        <v>14</v>
      </c>
      <c r="E12" s="50">
        <f>E2</f>
        <v>14.71428571</v>
      </c>
    </row>
    <row r="13">
      <c r="A13" s="45">
        <f t="shared" si="1"/>
        <v>12</v>
      </c>
      <c r="B13" s="50"/>
      <c r="C13" s="50"/>
      <c r="D13" s="50">
        <f> D2</f>
        <v>14</v>
      </c>
      <c r="E13" s="50">
        <f>E2</f>
        <v>14.71428571</v>
      </c>
    </row>
    <row r="14">
      <c r="A14" s="45">
        <f t="shared" si="1"/>
        <v>13</v>
      </c>
      <c r="B14" s="50"/>
      <c r="C14" s="50"/>
      <c r="D14" s="50">
        <f> D2</f>
        <v>14</v>
      </c>
      <c r="E14" s="50">
        <f>E2</f>
        <v>14.71428571</v>
      </c>
    </row>
    <row r="15">
      <c r="A15" s="45">
        <f t="shared" si="1"/>
        <v>14</v>
      </c>
      <c r="B15" s="50"/>
      <c r="C15" s="50"/>
      <c r="D15" s="50">
        <f> D2</f>
        <v>14</v>
      </c>
      <c r="E15" s="50">
        <f>E2</f>
        <v>14.71428571</v>
      </c>
    </row>
    <row r="16">
      <c r="A16" s="45">
        <f t="shared" si="1"/>
        <v>15</v>
      </c>
      <c r="B16" s="50"/>
      <c r="C16" s="50"/>
      <c r="D16" s="50">
        <f> D2</f>
        <v>14</v>
      </c>
      <c r="E16" s="50">
        <f>E2</f>
        <v>14.71428571</v>
      </c>
    </row>
    <row r="17">
      <c r="A17" s="45"/>
      <c r="B17" s="50"/>
      <c r="C17" s="50"/>
      <c r="D17" s="50"/>
      <c r="E17" s="50"/>
    </row>
    <row r="18">
      <c r="A18" s="45"/>
      <c r="B18" s="51" t="s">
        <v>180</v>
      </c>
      <c r="C18" s="51"/>
      <c r="D18" s="51"/>
      <c r="E18" s="51"/>
    </row>
    <row r="19">
      <c r="A19" s="47"/>
      <c r="B19" s="3"/>
      <c r="C19" s="3"/>
      <c r="D19" s="3"/>
      <c r="E19" s="3"/>
    </row>
    <row r="20">
      <c r="A20" s="47"/>
      <c r="B20" s="3"/>
      <c r="C20" s="3"/>
      <c r="D20" s="3"/>
      <c r="E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52" t="s">
        <v>181</v>
      </c>
      <c r="B1" s="53" t="s">
        <v>182</v>
      </c>
      <c r="C1" s="54" t="s">
        <v>183</v>
      </c>
      <c r="D1" s="55" t="s">
        <v>184</v>
      </c>
      <c r="E1" s="55" t="s">
        <v>185</v>
      </c>
      <c r="F1" s="55" t="s">
        <v>186</v>
      </c>
      <c r="G1" s="55" t="s">
        <v>187</v>
      </c>
    </row>
    <row r="2">
      <c r="A2" s="56"/>
      <c r="B2" s="57"/>
      <c r="C2" s="58"/>
      <c r="D2" s="58"/>
      <c r="E2" s="58"/>
      <c r="F2" s="58"/>
      <c r="G2" s="58"/>
    </row>
    <row r="3">
      <c r="A3" s="59" t="s">
        <v>188</v>
      </c>
      <c r="B3" s="60"/>
      <c r="C3" s="61"/>
      <c r="D3" s="61"/>
      <c r="E3" s="61"/>
      <c r="F3" s="61"/>
      <c r="G3" s="61"/>
    </row>
    <row r="4">
      <c r="A4" s="56"/>
      <c r="B4" s="57"/>
      <c r="C4" s="58"/>
      <c r="D4" s="58"/>
      <c r="E4" s="58"/>
      <c r="F4" s="58"/>
      <c r="G4" s="58"/>
    </row>
    <row r="5">
      <c r="A5" s="62" t="s">
        <v>189</v>
      </c>
      <c r="B5" s="63"/>
      <c r="C5" s="36"/>
      <c r="D5" s="64">
        <f>sum(D9:D14)</f>
        <v>89</v>
      </c>
      <c r="E5" s="64"/>
      <c r="F5" s="36">
        <f>SUM(F8:F14)</f>
        <v>98</v>
      </c>
      <c r="G5" s="36"/>
    </row>
    <row r="6">
      <c r="A6" s="56"/>
      <c r="B6" s="57"/>
      <c r="C6" s="58"/>
      <c r="D6" s="58"/>
      <c r="E6" s="58"/>
      <c r="F6" s="58"/>
      <c r="G6" s="58"/>
    </row>
    <row r="7">
      <c r="A7" s="65" t="s">
        <v>190</v>
      </c>
      <c r="B7" s="66"/>
      <c r="C7" s="67"/>
      <c r="D7" s="67"/>
      <c r="E7" s="67"/>
      <c r="F7" s="67"/>
      <c r="G7" s="67"/>
    </row>
    <row r="8">
      <c r="A8" s="68">
        <v>0.0</v>
      </c>
      <c r="B8" s="57"/>
      <c r="C8" s="58"/>
      <c r="D8" s="58"/>
      <c r="E8" s="69" t="s">
        <v>191</v>
      </c>
      <c r="F8" s="58"/>
      <c r="G8" s="69" t="s">
        <v>192</v>
      </c>
    </row>
    <row r="9">
      <c r="A9" s="70">
        <v>1.0</v>
      </c>
      <c r="B9" s="9" t="str">
        <f>'Sprint Goals'!B2</f>
        <v>Meeting with industry partner, designing the logo, setting up the project</v>
      </c>
      <c r="C9" s="36"/>
      <c r="D9" s="64">
        <f>sum(D24:D29)</f>
        <v>5</v>
      </c>
      <c r="E9" s="64">
        <f>$D$5-D9</f>
        <v>84</v>
      </c>
      <c r="F9" s="64">
        <f>sum(F24:F29)</f>
        <v>5</v>
      </c>
      <c r="G9" s="64">
        <f>F5</f>
        <v>98</v>
      </c>
    </row>
    <row r="10">
      <c r="A10" s="68">
        <f t="shared" ref="A10:A11" si="1">A9+1</f>
        <v>2</v>
      </c>
      <c r="B10" s="9" t="str">
        <f>'Sprint Goals'!B3</f>
        <v>Ingesting the interview dataset provided by the industry partner, working on the Architecture Description document, and delivering a first prototype that successfully passes text through a basic LLM endpoint.</v>
      </c>
      <c r="C10" s="58"/>
      <c r="D10" s="71">
        <f>sum(D31:D33)</f>
        <v>19</v>
      </c>
      <c r="E10" s="71">
        <f t="shared" ref="E10:E14" si="2">E9-D10</f>
        <v>65</v>
      </c>
      <c r="F10" s="71">
        <f>sum(F31:F34)</f>
        <v>39</v>
      </c>
      <c r="G10" s="71">
        <f t="shared" ref="G10:G14" si="3">G9-F9</f>
        <v>93</v>
      </c>
    </row>
    <row r="11">
      <c r="A11" s="70">
        <f t="shared" si="1"/>
        <v>3</v>
      </c>
      <c r="B11" s="9" t="str">
        <f>'Sprint Goals'!B4</f>
        <v>Creating a basic demo to be shown to Dr. Kaiser. Starting with simple views, database and llm communication</v>
      </c>
      <c r="C11" s="36"/>
      <c r="D11" s="64">
        <f>sum(D36:D41)</f>
        <v>22</v>
      </c>
      <c r="E11" s="64">
        <f t="shared" si="2"/>
        <v>43</v>
      </c>
      <c r="F11" s="64">
        <f>sum(F37:F41)</f>
        <v>22</v>
      </c>
      <c r="G11" s="64">
        <f t="shared" si="3"/>
        <v>54</v>
      </c>
    </row>
    <row r="12">
      <c r="A12" s="68">
        <v>4.0</v>
      </c>
      <c r="B12" s="9" t="str">
        <f>'Sprint Goals'!B5</f>
        <v>Creating the first version of the frontend, finishing up the basic demo of the backend. Adding a Readme and writting a proper Build script.</v>
      </c>
      <c r="C12" s="58"/>
      <c r="D12" s="58">
        <f>SUM(D44:D48)</f>
        <v>10</v>
      </c>
      <c r="E12" s="64">
        <f t="shared" si="2"/>
        <v>33</v>
      </c>
      <c r="F12" s="58">
        <f>sum(F44:F48)</f>
        <v>13</v>
      </c>
      <c r="G12" s="71">
        <f t="shared" si="3"/>
        <v>32</v>
      </c>
    </row>
    <row r="13">
      <c r="A13" s="70">
        <f t="shared" ref="A13:A14" si="4">A12+1</f>
        <v>5</v>
      </c>
      <c r="B13" s="9" t="str">
        <f>'Sprint Goals'!B6</f>
        <v>Closing up all features from previous sprints, finalizing the frontend so that we have a working demo for Industry Partner.</v>
      </c>
      <c r="C13" s="36"/>
      <c r="D13" s="36">
        <f>sum(D51:D54)</f>
        <v>19</v>
      </c>
      <c r="E13" s="64">
        <f t="shared" si="2"/>
        <v>14</v>
      </c>
      <c r="F13" s="36">
        <f>sum(F51:F54)</f>
        <v>19</v>
      </c>
      <c r="G13" s="71">
        <f t="shared" si="3"/>
        <v>19</v>
      </c>
    </row>
    <row r="14">
      <c r="A14" s="70">
        <f t="shared" si="4"/>
        <v>6</v>
      </c>
      <c r="B14" s="9" t="str">
        <f>'Sprint Goals'!B7</f>
        <v>Working on the thematic analysis logic for the mid project release</v>
      </c>
      <c r="C14" s="36"/>
      <c r="D14" s="32">
        <f>sum(D57:D61)</f>
        <v>14</v>
      </c>
      <c r="E14" s="32">
        <f t="shared" si="2"/>
        <v>0</v>
      </c>
      <c r="F14" s="36">
        <f>sum(F57:F61)</f>
        <v>0</v>
      </c>
      <c r="G14" s="71">
        <f t="shared" si="3"/>
        <v>0</v>
      </c>
    </row>
    <row r="15">
      <c r="A15" s="70"/>
      <c r="B15" s="9"/>
      <c r="C15" s="36"/>
      <c r="D15" s="36"/>
      <c r="E15" s="36"/>
      <c r="F15" s="36"/>
      <c r="G15" s="36"/>
    </row>
    <row r="16">
      <c r="A16" s="70"/>
      <c r="C16" s="36"/>
      <c r="D16" s="36"/>
      <c r="E16" s="36"/>
      <c r="F16" s="36"/>
      <c r="G16" s="36"/>
    </row>
    <row r="17">
      <c r="A17" s="70"/>
      <c r="B17" s="9"/>
      <c r="C17" s="36"/>
      <c r="D17" s="36"/>
      <c r="E17" s="36"/>
      <c r="F17" s="36"/>
      <c r="G17" s="36"/>
    </row>
    <row r="18">
      <c r="A18" s="70"/>
      <c r="B18" s="9"/>
      <c r="C18" s="36"/>
      <c r="D18" s="36"/>
      <c r="E18" s="36"/>
      <c r="F18" s="36"/>
      <c r="G18" s="36"/>
    </row>
    <row r="19">
      <c r="A19" s="70"/>
      <c r="B19" s="62"/>
      <c r="C19" s="36"/>
      <c r="D19" s="36"/>
      <c r="E19" s="36"/>
      <c r="F19" s="36"/>
      <c r="G19" s="36"/>
    </row>
    <row r="20">
      <c r="A20" s="70"/>
      <c r="B20" s="62"/>
      <c r="C20" s="36"/>
      <c r="D20" s="36"/>
      <c r="E20" s="36"/>
      <c r="F20" s="36"/>
      <c r="G20" s="36"/>
    </row>
    <row r="21">
      <c r="A21" s="70"/>
      <c r="B21" s="62"/>
      <c r="C21" s="36"/>
      <c r="D21" s="36"/>
      <c r="E21" s="36"/>
      <c r="F21" s="36"/>
      <c r="G21" s="36"/>
    </row>
    <row r="22">
      <c r="A22" s="72" t="s">
        <v>193</v>
      </c>
      <c r="B22" s="73"/>
      <c r="C22" s="74"/>
      <c r="D22" s="74"/>
      <c r="E22" s="74"/>
      <c r="F22" s="74"/>
      <c r="G22" s="74"/>
    </row>
    <row r="23">
      <c r="A23" s="70"/>
      <c r="B23" s="62"/>
      <c r="C23" s="36"/>
      <c r="D23" s="36"/>
      <c r="E23" s="36"/>
      <c r="F23" s="36"/>
      <c r="G23" s="36"/>
    </row>
    <row r="24">
      <c r="A24" s="75">
        <f t="shared" ref="A24:B24" si="5">A9</f>
        <v>1</v>
      </c>
      <c r="B24" s="76" t="str">
        <f t="shared" si="5"/>
        <v>Meeting with industry partner, designing the logo, setting up the project</v>
      </c>
      <c r="C24" s="58"/>
      <c r="D24" s="58"/>
      <c r="E24" s="58"/>
      <c r="F24" s="58"/>
      <c r="G24" s="58"/>
    </row>
    <row r="25">
      <c r="A25" s="70"/>
      <c r="B25" s="77"/>
      <c r="C25" s="32" t="s">
        <v>194</v>
      </c>
      <c r="D25" s="32">
        <v>5.0</v>
      </c>
      <c r="E25" s="36"/>
      <c r="F25" s="32">
        <v>5.0</v>
      </c>
      <c r="G25" s="36"/>
    </row>
    <row r="26">
      <c r="A26" s="56"/>
      <c r="B26" s="57"/>
      <c r="C26" s="78"/>
      <c r="D26" s="79"/>
      <c r="E26" s="57"/>
      <c r="F26" s="79"/>
      <c r="G26" s="57"/>
    </row>
    <row r="27">
      <c r="A27" s="70"/>
      <c r="B27" s="77"/>
      <c r="C27" s="36"/>
      <c r="D27" s="64"/>
      <c r="E27" s="36"/>
      <c r="F27" s="64"/>
      <c r="G27" s="36"/>
    </row>
    <row r="28">
      <c r="A28" s="80"/>
      <c r="B28" s="78"/>
      <c r="C28" s="78"/>
      <c r="D28" s="71"/>
      <c r="E28" s="78"/>
      <c r="F28" s="71"/>
      <c r="G28" s="78"/>
    </row>
    <row r="29">
      <c r="A29" s="70"/>
      <c r="B29" s="77"/>
      <c r="C29" s="36"/>
      <c r="D29" s="64"/>
      <c r="E29" s="36"/>
      <c r="F29" s="64"/>
      <c r="G29" s="36"/>
    </row>
    <row r="30">
      <c r="A30" s="75">
        <f t="shared" ref="A30:B30" si="6">A10</f>
        <v>2</v>
      </c>
      <c r="B30" s="76" t="str">
        <f t="shared" si="6"/>
        <v>Ingesting the interview dataset provided by the industry partner, working on the Architecture Description document, and delivering a first prototype that successfully passes text through a basic LLM endpoint.</v>
      </c>
      <c r="C30" s="58"/>
      <c r="D30" s="58"/>
      <c r="E30" s="58"/>
      <c r="F30" s="58"/>
      <c r="G30" s="58"/>
    </row>
    <row r="31">
      <c r="A31" s="70"/>
      <c r="B31" s="77"/>
      <c r="C31" s="32" t="s">
        <v>195</v>
      </c>
      <c r="D31" s="32">
        <v>3.0</v>
      </c>
      <c r="E31" s="36"/>
      <c r="F31" s="32">
        <v>5.0</v>
      </c>
      <c r="G31" s="36"/>
    </row>
    <row r="32">
      <c r="A32" s="80"/>
      <c r="B32" s="78"/>
      <c r="C32" s="46" t="s">
        <v>196</v>
      </c>
      <c r="D32" s="81">
        <v>8.0</v>
      </c>
      <c r="E32" s="78"/>
      <c r="F32" s="81">
        <v>13.0</v>
      </c>
      <c r="G32" s="78"/>
    </row>
    <row r="33">
      <c r="A33" s="70"/>
      <c r="B33" s="77"/>
      <c r="C33" s="32" t="s">
        <v>197</v>
      </c>
      <c r="D33" s="82">
        <v>8.0</v>
      </c>
      <c r="E33" s="36"/>
      <c r="F33" s="82">
        <v>13.0</v>
      </c>
      <c r="G33" s="36"/>
    </row>
    <row r="34">
      <c r="A34" s="80"/>
      <c r="B34" s="78"/>
      <c r="C34" s="46" t="s">
        <v>198</v>
      </c>
      <c r="D34" s="81">
        <v>8.0</v>
      </c>
      <c r="E34" s="78"/>
      <c r="F34" s="81">
        <v>8.0</v>
      </c>
      <c r="G34" s="78"/>
    </row>
    <row r="35">
      <c r="A35" s="70"/>
      <c r="B35" s="77"/>
      <c r="C35" s="36"/>
      <c r="D35" s="64"/>
      <c r="E35" s="36"/>
      <c r="F35" s="64"/>
      <c r="G35" s="36"/>
    </row>
    <row r="36">
      <c r="A36" s="75">
        <f t="shared" ref="A36:B36" si="7">A11</f>
        <v>3</v>
      </c>
      <c r="B36" s="76" t="str">
        <f t="shared" si="7"/>
        <v>Creating a basic demo to be shown to Dr. Kaiser. Starting with simple views, database and llm communication</v>
      </c>
      <c r="C36" s="58"/>
      <c r="D36" s="58"/>
      <c r="E36" s="58"/>
      <c r="F36" s="58"/>
      <c r="G36" s="58"/>
    </row>
    <row r="37">
      <c r="A37" s="70"/>
      <c r="B37" s="77"/>
      <c r="C37" s="32" t="s">
        <v>199</v>
      </c>
      <c r="D37" s="32">
        <v>5.0</v>
      </c>
      <c r="E37" s="36"/>
      <c r="F37" s="32">
        <v>5.0</v>
      </c>
      <c r="G37" s="36"/>
    </row>
    <row r="38">
      <c r="A38" s="80"/>
      <c r="B38" s="78"/>
      <c r="C38" s="46" t="s">
        <v>200</v>
      </c>
      <c r="D38" s="81">
        <v>8.0</v>
      </c>
      <c r="E38" s="78"/>
      <c r="F38" s="46">
        <v>8.0</v>
      </c>
      <c r="G38" s="78"/>
    </row>
    <row r="39">
      <c r="A39" s="70"/>
      <c r="B39" s="77"/>
      <c r="C39" s="32" t="s">
        <v>201</v>
      </c>
      <c r="D39" s="82">
        <v>1.0</v>
      </c>
      <c r="E39" s="36"/>
      <c r="F39" s="32">
        <v>1.0</v>
      </c>
      <c r="G39" s="36"/>
    </row>
    <row r="40">
      <c r="A40" s="80"/>
      <c r="B40" s="78"/>
      <c r="C40" s="30" t="s">
        <v>202</v>
      </c>
      <c r="D40" s="81">
        <v>3.0</v>
      </c>
      <c r="E40" s="78"/>
      <c r="F40" s="46">
        <v>3.0</v>
      </c>
      <c r="G40" s="78"/>
    </row>
    <row r="41">
      <c r="A41" s="80"/>
      <c r="B41" s="78"/>
      <c r="C41" s="30" t="s">
        <v>203</v>
      </c>
      <c r="D41" s="81">
        <v>5.0</v>
      </c>
      <c r="E41" s="78"/>
      <c r="F41" s="46">
        <v>5.0</v>
      </c>
      <c r="G41" s="78"/>
    </row>
    <row r="42">
      <c r="A42" s="80"/>
      <c r="B42" s="78"/>
      <c r="C42" s="58"/>
      <c r="D42" s="71"/>
      <c r="E42" s="78"/>
      <c r="F42" s="78"/>
      <c r="G42" s="78"/>
    </row>
    <row r="43">
      <c r="A43" s="75">
        <f t="shared" ref="A43:B43" si="8">A12</f>
        <v>4</v>
      </c>
      <c r="B43" s="76" t="str">
        <f t="shared" si="8"/>
        <v>Creating the first version of the frontend, finishing up the basic demo of the backend. Adding a Readme and writting a proper Build script.</v>
      </c>
      <c r="C43" s="58"/>
      <c r="D43" s="71"/>
      <c r="E43" s="78"/>
      <c r="F43" s="78"/>
      <c r="G43" s="78"/>
    </row>
    <row r="44">
      <c r="A44" s="80"/>
      <c r="B44" s="78"/>
      <c r="C44" s="30" t="s">
        <v>204</v>
      </c>
      <c r="D44" s="81">
        <v>3.0</v>
      </c>
      <c r="E44" s="78"/>
      <c r="F44" s="46">
        <v>3.0</v>
      </c>
      <c r="G44" s="78"/>
    </row>
    <row r="45">
      <c r="A45" s="80"/>
      <c r="B45" s="78"/>
      <c r="C45" s="30" t="s">
        <v>205</v>
      </c>
      <c r="D45" s="81">
        <v>3.0</v>
      </c>
      <c r="E45" s="78"/>
      <c r="F45" s="46">
        <v>3.0</v>
      </c>
      <c r="G45" s="78"/>
    </row>
    <row r="46">
      <c r="A46" s="80"/>
      <c r="B46" s="78"/>
      <c r="C46" s="83" t="s">
        <v>206</v>
      </c>
      <c r="D46" s="81">
        <v>1.0</v>
      </c>
      <c r="E46" s="78"/>
      <c r="F46" s="46">
        <v>1.0</v>
      </c>
      <c r="G46" s="78"/>
    </row>
    <row r="47">
      <c r="A47" s="80"/>
      <c r="B47" s="78"/>
      <c r="C47" s="30" t="s">
        <v>207</v>
      </c>
      <c r="D47" s="81">
        <v>1.0</v>
      </c>
      <c r="E47" s="78"/>
      <c r="F47" s="46">
        <v>3.0</v>
      </c>
      <c r="G47" s="78"/>
    </row>
    <row r="48">
      <c r="A48" s="80"/>
      <c r="B48" s="78"/>
      <c r="C48" s="30" t="s">
        <v>208</v>
      </c>
      <c r="D48" s="81">
        <v>2.0</v>
      </c>
      <c r="E48" s="78"/>
      <c r="F48" s="46">
        <v>3.0</v>
      </c>
      <c r="G48" s="78"/>
    </row>
    <row r="49">
      <c r="B49" s="78"/>
      <c r="C49" s="58"/>
      <c r="D49" s="71"/>
      <c r="E49" s="78"/>
      <c r="F49" s="78"/>
      <c r="G49" s="78"/>
    </row>
    <row r="50">
      <c r="A50" s="75">
        <f t="shared" ref="A50:B50" si="9">A13</f>
        <v>5</v>
      </c>
      <c r="B50" s="76" t="str">
        <f t="shared" si="9"/>
        <v>Closing up all features from previous sprints, finalizing the frontend so that we have a working demo for Industry Partner.</v>
      </c>
      <c r="C50" s="58"/>
      <c r="D50" s="71"/>
      <c r="E50" s="78"/>
      <c r="F50" s="78"/>
      <c r="G50" s="78"/>
    </row>
    <row r="51">
      <c r="A51" s="80"/>
      <c r="B51" s="78"/>
      <c r="C51" s="30" t="s">
        <v>209</v>
      </c>
      <c r="D51" s="81">
        <v>8.0</v>
      </c>
      <c r="E51" s="78"/>
      <c r="F51" s="46">
        <v>8.0</v>
      </c>
      <c r="G51" s="78"/>
    </row>
    <row r="52">
      <c r="A52" s="80"/>
      <c r="B52" s="78"/>
      <c r="C52" s="30" t="s">
        <v>210</v>
      </c>
      <c r="D52" s="81">
        <v>5.0</v>
      </c>
      <c r="E52" s="78"/>
      <c r="F52" s="46">
        <v>3.0</v>
      </c>
      <c r="G52" s="78"/>
    </row>
    <row r="53">
      <c r="A53" s="80"/>
      <c r="B53" s="78"/>
      <c r="C53" s="30" t="s">
        <v>211</v>
      </c>
      <c r="D53" s="81">
        <v>3.0</v>
      </c>
      <c r="E53" s="78"/>
      <c r="F53" s="46">
        <v>3.0</v>
      </c>
      <c r="G53" s="78"/>
    </row>
    <row r="54">
      <c r="A54" s="58"/>
      <c r="B54" s="58"/>
      <c r="C54" s="30" t="s">
        <v>212</v>
      </c>
      <c r="D54" s="30">
        <v>3.0</v>
      </c>
      <c r="E54" s="58"/>
      <c r="F54" s="46">
        <v>5.0</v>
      </c>
      <c r="G54" s="78"/>
    </row>
    <row r="55">
      <c r="A55" s="58"/>
      <c r="B55" s="58"/>
      <c r="C55" s="58"/>
      <c r="D55" s="58"/>
      <c r="E55" s="58"/>
      <c r="F55" s="36"/>
      <c r="G55" s="36"/>
    </row>
    <row r="56">
      <c r="A56" s="84">
        <f t="shared" ref="A56:B56" si="10">A14</f>
        <v>6</v>
      </c>
      <c r="B56" s="76" t="str">
        <f t="shared" si="10"/>
        <v>Working on the thematic analysis logic for the mid project release</v>
      </c>
      <c r="C56" s="58"/>
      <c r="D56" s="58"/>
      <c r="E56" s="58"/>
      <c r="F56" s="58"/>
      <c r="G56" s="58"/>
    </row>
    <row r="57">
      <c r="A57" s="80"/>
      <c r="B57" s="78"/>
      <c r="C57" s="30" t="s">
        <v>213</v>
      </c>
      <c r="D57" s="30">
        <v>5.0</v>
      </c>
      <c r="E57" s="58"/>
      <c r="F57" s="58"/>
      <c r="G57" s="58"/>
    </row>
    <row r="58">
      <c r="A58" s="80"/>
      <c r="B58" s="78"/>
      <c r="C58" s="30" t="s">
        <v>214</v>
      </c>
      <c r="D58" s="30">
        <v>2.0</v>
      </c>
      <c r="E58" s="58"/>
      <c r="F58" s="58"/>
      <c r="G58" s="58"/>
    </row>
    <row r="59">
      <c r="A59" s="80"/>
      <c r="B59" s="78"/>
      <c r="C59" s="30" t="s">
        <v>215</v>
      </c>
      <c r="D59" s="30">
        <v>2.0</v>
      </c>
      <c r="E59" s="58"/>
      <c r="F59" s="58"/>
      <c r="G59" s="58"/>
    </row>
    <row r="60">
      <c r="A60" s="80"/>
      <c r="B60" s="78"/>
      <c r="C60" s="30" t="s">
        <v>216</v>
      </c>
      <c r="D60" s="23">
        <v>3.0</v>
      </c>
      <c r="E60" s="58"/>
      <c r="F60" s="58"/>
      <c r="G60" s="58"/>
    </row>
    <row r="61">
      <c r="A61" s="80"/>
      <c r="B61" s="78"/>
      <c r="C61" s="30" t="s">
        <v>217</v>
      </c>
      <c r="D61" s="30">
        <v>2.0</v>
      </c>
      <c r="E61" s="58"/>
      <c r="F61" s="58"/>
      <c r="G61" s="58"/>
    </row>
    <row r="62">
      <c r="A62" s="80"/>
      <c r="B62" s="78"/>
      <c r="C62" s="58"/>
      <c r="D62" s="58"/>
      <c r="E62" s="58"/>
      <c r="F62" s="58"/>
      <c r="G62" s="58"/>
    </row>
  </sheetData>
  <hyperlinks>
    <hyperlink r:id="rId1" ref="C46"/>
  </hyperlinks>
  <printOptions gridLines="1" horizontalCentered="1"/>
  <pageMargins bottom="0.75" footer="0.0" header="0.0" left="0.7" right="0.7" top="0.75"/>
  <pageSetup fitToHeight="0" paperSize="9" cellComments="atEnd" orientation="landscape" pageOrder="overThenDown"/>
  <drawing r:id="rId2"/>
  <tableParts count="1">
    <tablePart r:id="rId4"/>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4.13"/>
  </cols>
  <sheetData>
    <row r="7">
      <c r="B7" s="23">
        <f>average('Velocity Tracking'!B2:B12)</f>
        <v>14.71428571</v>
      </c>
    </row>
    <row r="8">
      <c r="B8">
        <f t="shared" ref="B8:B19" si="1">B7</f>
        <v>14.71428571</v>
      </c>
    </row>
    <row r="9">
      <c r="B9">
        <f t="shared" si="1"/>
        <v>14.71428571</v>
      </c>
    </row>
    <row r="10">
      <c r="B10">
        <f t="shared" si="1"/>
        <v>14.71428571</v>
      </c>
    </row>
    <row r="11">
      <c r="B11">
        <f t="shared" si="1"/>
        <v>14.71428571</v>
      </c>
    </row>
    <row r="12">
      <c r="B12">
        <f t="shared" si="1"/>
        <v>14.71428571</v>
      </c>
    </row>
    <row r="13">
      <c r="B13">
        <f t="shared" si="1"/>
        <v>14.71428571</v>
      </c>
    </row>
    <row r="14">
      <c r="B14">
        <f t="shared" si="1"/>
        <v>14.71428571</v>
      </c>
    </row>
    <row r="15">
      <c r="B15">
        <f t="shared" si="1"/>
        <v>14.71428571</v>
      </c>
    </row>
    <row r="16">
      <c r="B16">
        <f t="shared" si="1"/>
        <v>14.71428571</v>
      </c>
    </row>
    <row r="17">
      <c r="B17">
        <f t="shared" si="1"/>
        <v>14.71428571</v>
      </c>
    </row>
    <row r="18">
      <c r="B18">
        <f t="shared" si="1"/>
        <v>14.71428571</v>
      </c>
    </row>
    <row r="19">
      <c r="B19">
        <f t="shared" si="1"/>
        <v>14.71428571</v>
      </c>
    </row>
    <row r="33">
      <c r="A33" s="7" t="s">
        <v>218</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sheetData>
    <row r="6">
      <c r="E6">
        <f>'Mid-Project Release plan'!D5</f>
        <v>89</v>
      </c>
      <c r="F6">
        <f>E6</f>
        <v>89</v>
      </c>
    </row>
    <row r="7">
      <c r="E7" s="85">
        <f>E6-C26</f>
        <v>74.16666667</v>
      </c>
      <c r="F7">
        <f>'Mid-Project Release plan'!E9</f>
        <v>84</v>
      </c>
    </row>
    <row r="8">
      <c r="E8" s="85">
        <f>E7-C26</f>
        <v>59.33333333</v>
      </c>
      <c r="F8">
        <f>'Mid-Project Release plan'!E10</f>
        <v>65</v>
      </c>
    </row>
    <row r="9">
      <c r="E9" s="85">
        <f>E8-C26</f>
        <v>44.5</v>
      </c>
      <c r="F9">
        <f>'Mid-Project Release plan'!E11</f>
        <v>43</v>
      </c>
    </row>
    <row r="10">
      <c r="E10" s="85">
        <f>E9-C26</f>
        <v>29.66666667</v>
      </c>
      <c r="F10">
        <f>'Mid-Project Release plan'!E12</f>
        <v>33</v>
      </c>
    </row>
    <row r="11">
      <c r="E11" s="85">
        <f>E10-C26</f>
        <v>14.83333333</v>
      </c>
      <c r="F11">
        <f>'Mid-Project Release plan'!E13</f>
        <v>14</v>
      </c>
    </row>
    <row r="12">
      <c r="E12" s="86">
        <f>E11-C26</f>
        <v>0</v>
      </c>
      <c r="F12">
        <f>'Mid-Project Release plan'!E14</f>
        <v>0</v>
      </c>
      <c r="P12" s="85"/>
    </row>
    <row r="13">
      <c r="P13" s="85"/>
    </row>
    <row r="14">
      <c r="P14" s="85"/>
    </row>
    <row r="15">
      <c r="E15" s="85"/>
      <c r="P15" s="85"/>
    </row>
    <row r="16">
      <c r="E16" s="85"/>
    </row>
    <row r="26">
      <c r="B26" s="23" t="s">
        <v>219</v>
      </c>
      <c r="C26" s="85">
        <f>'Mid-Project Release plan'!D5/'Mid-Project Release plan'!A14</f>
        <v>14.83333333</v>
      </c>
      <c r="D26" s="23" t="s">
        <v>220</v>
      </c>
    </row>
  </sheetData>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52" t="s">
        <v>181</v>
      </c>
      <c r="B1" s="53" t="s">
        <v>182</v>
      </c>
      <c r="C1" s="54" t="s">
        <v>183</v>
      </c>
      <c r="D1" s="55" t="s">
        <v>184</v>
      </c>
      <c r="E1" s="55" t="s">
        <v>185</v>
      </c>
      <c r="F1" s="55" t="s">
        <v>186</v>
      </c>
      <c r="G1" s="55" t="s">
        <v>187</v>
      </c>
    </row>
    <row r="2">
      <c r="A2" s="56"/>
      <c r="B2" s="57"/>
      <c r="C2" s="58"/>
      <c r="D2" s="58"/>
      <c r="E2" s="58"/>
      <c r="F2" s="58"/>
      <c r="G2" s="58"/>
    </row>
    <row r="3">
      <c r="A3" s="59" t="s">
        <v>188</v>
      </c>
      <c r="B3" s="60"/>
      <c r="C3" s="61"/>
      <c r="D3" s="61"/>
      <c r="E3" s="61"/>
      <c r="F3" s="61"/>
      <c r="G3" s="61"/>
    </row>
    <row r="4">
      <c r="A4" s="56"/>
      <c r="B4" s="57"/>
      <c r="C4" s="58"/>
      <c r="D4" s="58"/>
      <c r="E4" s="58"/>
      <c r="F4" s="58"/>
      <c r="G4" s="58"/>
    </row>
    <row r="5">
      <c r="A5" s="62" t="s">
        <v>189</v>
      </c>
      <c r="B5" s="63"/>
      <c r="C5" s="36"/>
      <c r="D5" s="64">
        <f>sum(D9:D21)</f>
        <v>97</v>
      </c>
      <c r="E5" s="64"/>
      <c r="F5" s="36">
        <f>SUM(F8:F21)</f>
        <v>103</v>
      </c>
      <c r="G5" s="36"/>
    </row>
    <row r="6">
      <c r="A6" s="56"/>
      <c r="B6" s="57"/>
      <c r="C6" s="58"/>
      <c r="D6" s="58"/>
      <c r="E6" s="58"/>
      <c r="F6" s="58"/>
      <c r="G6" s="58"/>
    </row>
    <row r="7">
      <c r="A7" s="65" t="s">
        <v>190</v>
      </c>
      <c r="B7" s="66"/>
      <c r="C7" s="67"/>
      <c r="D7" s="67"/>
      <c r="E7" s="67"/>
      <c r="F7" s="67"/>
      <c r="G7" s="67"/>
    </row>
    <row r="8">
      <c r="A8" s="68">
        <v>0.0</v>
      </c>
      <c r="B8" s="57"/>
      <c r="C8" s="58"/>
      <c r="D8" s="58"/>
      <c r="E8" s="69" t="s">
        <v>191</v>
      </c>
      <c r="F8" s="58"/>
      <c r="G8" s="69" t="s">
        <v>192</v>
      </c>
    </row>
    <row r="9">
      <c r="A9" s="70">
        <v>1.0</v>
      </c>
      <c r="B9" s="9" t="str">
        <f>'Sprint Goals'!B2</f>
        <v>Meeting with industry partner, designing the logo, setting up the project</v>
      </c>
      <c r="C9" s="36"/>
      <c r="D9" s="64">
        <f>sum(D24:D29)</f>
        <v>5</v>
      </c>
      <c r="E9" s="64">
        <f>$D$5-D9</f>
        <v>92</v>
      </c>
      <c r="F9" s="64">
        <f>sum(F24:F29)</f>
        <v>5</v>
      </c>
      <c r="G9" s="64">
        <f>F5-F9</f>
        <v>98</v>
      </c>
    </row>
    <row r="10">
      <c r="A10" s="68">
        <f t="shared" ref="A10:A11" si="1">A9+1</f>
        <v>2</v>
      </c>
      <c r="B10" s="9" t="str">
        <f>'Sprint Goals'!B3</f>
        <v>Ingesting the interview dataset provided by the industry partner, working on the Architecture Description document, and delivering a first prototype that successfully passes text through a basic LLM endpoint.</v>
      </c>
      <c r="C10" s="58"/>
      <c r="D10" s="71">
        <f>sum(D31:D33)</f>
        <v>19</v>
      </c>
      <c r="E10" s="71">
        <f t="shared" ref="E10:E16" si="2">E9-D10</f>
        <v>73</v>
      </c>
      <c r="F10" s="71">
        <f>sum(F31:F34)</f>
        <v>39</v>
      </c>
      <c r="G10" s="71">
        <f t="shared" ref="G10:G14" si="3">G9-F10</f>
        <v>59</v>
      </c>
    </row>
    <row r="11">
      <c r="A11" s="70">
        <f t="shared" si="1"/>
        <v>3</v>
      </c>
      <c r="B11" s="9" t="str">
        <f>'Sprint Goals'!B4</f>
        <v>Creating a basic demo to be shown to Dr. Kaiser. Starting with simple views, database and llm communication</v>
      </c>
      <c r="C11" s="36"/>
      <c r="D11" s="64">
        <f>sum(D36:D41)</f>
        <v>22</v>
      </c>
      <c r="E11" s="64">
        <f t="shared" si="2"/>
        <v>51</v>
      </c>
      <c r="F11" s="64">
        <f>sum(F37:F41)</f>
        <v>22</v>
      </c>
      <c r="G11" s="71">
        <f t="shared" si="3"/>
        <v>37</v>
      </c>
    </row>
    <row r="12">
      <c r="A12" s="68">
        <v>4.0</v>
      </c>
      <c r="B12" s="9" t="str">
        <f>'Sprint Goals'!B5</f>
        <v>Creating the first version of the frontend, finishing up the basic demo of the backend. Adding a Readme and writting a proper Build script.</v>
      </c>
      <c r="C12" s="58"/>
      <c r="D12" s="58">
        <f>SUM(D44:D48)</f>
        <v>10</v>
      </c>
      <c r="E12" s="64">
        <f t="shared" si="2"/>
        <v>41</v>
      </c>
      <c r="F12" s="58">
        <f>sum(F44:F48)</f>
        <v>13</v>
      </c>
      <c r="G12" s="71">
        <f t="shared" si="3"/>
        <v>24</v>
      </c>
    </row>
    <row r="13">
      <c r="A13" s="70">
        <f t="shared" ref="A13:A14" si="4">A12+1</f>
        <v>5</v>
      </c>
      <c r="B13" s="9" t="str">
        <f>'Sprint Goals'!B6</f>
        <v>Closing up all features from previous sprints, finalizing the frontend so that we have a working demo for Industry Partner.</v>
      </c>
      <c r="C13" s="36"/>
      <c r="D13" s="36">
        <f>sum(D51:D54)</f>
        <v>19</v>
      </c>
      <c r="E13" s="64">
        <f t="shared" si="2"/>
        <v>22</v>
      </c>
      <c r="F13" s="36">
        <f>sum(F51:F54)</f>
        <v>19</v>
      </c>
      <c r="G13" s="71">
        <f t="shared" si="3"/>
        <v>5</v>
      </c>
    </row>
    <row r="14">
      <c r="A14" s="70">
        <f t="shared" si="4"/>
        <v>6</v>
      </c>
      <c r="B14" s="9" t="str">
        <f>'Sprint Goals'!B7</f>
        <v>Working on the thematic analysis logic for the mid project release</v>
      </c>
      <c r="C14" s="36"/>
      <c r="D14" s="32">
        <f>sum(D57)</f>
        <v>5</v>
      </c>
      <c r="E14" s="32">
        <f t="shared" si="2"/>
        <v>17</v>
      </c>
      <c r="F14" s="36">
        <f>sum(F57:F61)</f>
        <v>5</v>
      </c>
      <c r="G14" s="71">
        <f t="shared" si="3"/>
        <v>0</v>
      </c>
    </row>
    <row r="15">
      <c r="A15" s="87">
        <v>7.0</v>
      </c>
      <c r="B15" s="9" t="str">
        <f>'Sprint Goals'!B8</f>
        <v>Finishing work of Sprint 6. Refactoring and Optimization</v>
      </c>
      <c r="C15" s="36"/>
      <c r="D15" s="36">
        <f>sum(D60:D63)</f>
        <v>9</v>
      </c>
      <c r="E15" s="32">
        <f t="shared" si="2"/>
        <v>8</v>
      </c>
      <c r="F15" s="36"/>
      <c r="G15" s="36"/>
    </row>
    <row r="16">
      <c r="A16" s="87">
        <v>8.0</v>
      </c>
      <c r="B16" s="9" t="str">
        <f>'Sprint Goals'!B9</f>
        <v>Start on Apply codebook to Corpus</v>
      </c>
      <c r="C16" s="36"/>
      <c r="D16" s="36">
        <f>sum(D66)</f>
        <v>8</v>
      </c>
      <c r="E16" s="32">
        <f t="shared" si="2"/>
        <v>0</v>
      </c>
      <c r="F16" s="36"/>
      <c r="G16" s="36"/>
    </row>
    <row r="17">
      <c r="A17" s="70"/>
      <c r="B17" s="9" t="str">
        <f>'Sprint Goals'!B10</f>
        <v>Finish Apply Codeboook to Corpus and other minor issues</v>
      </c>
      <c r="C17" s="36"/>
      <c r="D17" s="36"/>
      <c r="E17" s="36"/>
      <c r="F17" s="36"/>
      <c r="G17" s="36"/>
    </row>
    <row r="18">
      <c r="A18" s="70"/>
      <c r="B18" s="9" t="str">
        <f>'Sprint Goals'!B11</f>
        <v>Focus on displaying all of thebtrabscripts for a particular theme and adding external API Support. Minor fixes requested by Dr.Kaiser</v>
      </c>
      <c r="C18" s="36"/>
      <c r="D18" s="36"/>
      <c r="E18" s="36"/>
      <c r="F18" s="36"/>
      <c r="G18" s="36"/>
    </row>
    <row r="19">
      <c r="A19" s="70"/>
      <c r="B19" s="9" t="str">
        <f>'Sprint Goals'!B12</f>
        <v/>
      </c>
      <c r="C19" s="36"/>
      <c r="D19" s="36"/>
      <c r="E19" s="36"/>
      <c r="F19" s="36"/>
      <c r="G19" s="36"/>
    </row>
    <row r="20">
      <c r="A20" s="70"/>
      <c r="B20" s="9" t="str">
        <f>'Sprint Goals'!B13</f>
        <v/>
      </c>
      <c r="C20" s="36"/>
      <c r="D20" s="36"/>
      <c r="E20" s="36"/>
      <c r="F20" s="36"/>
      <c r="G20" s="36"/>
    </row>
    <row r="21">
      <c r="A21" s="70"/>
      <c r="B21" s="9" t="str">
        <f>'Sprint Goals'!B14</f>
        <v/>
      </c>
      <c r="C21" s="36"/>
      <c r="D21" s="36"/>
      <c r="E21" s="36"/>
      <c r="F21" s="36"/>
      <c r="G21" s="36"/>
    </row>
    <row r="22">
      <c r="A22" s="72" t="s">
        <v>193</v>
      </c>
      <c r="B22" s="73"/>
      <c r="C22" s="74"/>
      <c r="D22" s="74"/>
      <c r="E22" s="74"/>
      <c r="F22" s="74"/>
      <c r="G22" s="74"/>
    </row>
    <row r="23">
      <c r="A23" s="70"/>
      <c r="B23" s="62"/>
      <c r="C23" s="36"/>
      <c r="D23" s="36"/>
      <c r="E23" s="36"/>
      <c r="F23" s="36"/>
      <c r="G23" s="36"/>
    </row>
    <row r="24">
      <c r="A24" s="75">
        <f t="shared" ref="A24:B24" si="5">A9</f>
        <v>1</v>
      </c>
      <c r="B24" s="76" t="str">
        <f t="shared" si="5"/>
        <v>Meeting with industry partner, designing the logo, setting up the project</v>
      </c>
      <c r="C24" s="58"/>
      <c r="D24" s="58"/>
      <c r="E24" s="58"/>
      <c r="F24" s="58"/>
      <c r="G24" s="58"/>
    </row>
    <row r="25">
      <c r="A25" s="70"/>
      <c r="B25" s="77"/>
      <c r="C25" s="32" t="s">
        <v>194</v>
      </c>
      <c r="D25" s="32">
        <v>5.0</v>
      </c>
      <c r="E25" s="36"/>
      <c r="F25" s="32">
        <v>5.0</v>
      </c>
      <c r="G25" s="36"/>
    </row>
    <row r="26">
      <c r="A26" s="56"/>
      <c r="B26" s="57"/>
      <c r="C26" s="78"/>
      <c r="D26" s="79"/>
      <c r="E26" s="57"/>
      <c r="F26" s="79"/>
      <c r="G26" s="57"/>
    </row>
    <row r="27">
      <c r="A27" s="70"/>
      <c r="B27" s="77"/>
      <c r="C27" s="36"/>
      <c r="D27" s="64"/>
      <c r="E27" s="36"/>
      <c r="F27" s="64"/>
      <c r="G27" s="36"/>
    </row>
    <row r="28">
      <c r="A28" s="80"/>
      <c r="B28" s="78"/>
      <c r="C28" s="78"/>
      <c r="D28" s="71"/>
      <c r="E28" s="78"/>
      <c r="F28" s="71"/>
      <c r="G28" s="78"/>
    </row>
    <row r="29">
      <c r="A29" s="70"/>
      <c r="B29" s="77"/>
      <c r="C29" s="36"/>
      <c r="D29" s="64"/>
      <c r="E29" s="36"/>
      <c r="F29" s="64"/>
      <c r="G29" s="36"/>
    </row>
    <row r="30">
      <c r="A30" s="75">
        <f t="shared" ref="A30:B30" si="6">A10</f>
        <v>2</v>
      </c>
      <c r="B30" s="76" t="str">
        <f t="shared" si="6"/>
        <v>Ingesting the interview dataset provided by the industry partner, working on the Architecture Description document, and delivering a first prototype that successfully passes text through a basic LLM endpoint.</v>
      </c>
      <c r="C30" s="58"/>
      <c r="D30" s="58"/>
      <c r="E30" s="58"/>
      <c r="F30" s="58"/>
      <c r="G30" s="58"/>
    </row>
    <row r="31">
      <c r="A31" s="70"/>
      <c r="B31" s="77"/>
      <c r="C31" s="32" t="s">
        <v>195</v>
      </c>
      <c r="D31" s="32">
        <v>3.0</v>
      </c>
      <c r="E31" s="36"/>
      <c r="F31" s="32">
        <v>5.0</v>
      </c>
      <c r="G31" s="36"/>
    </row>
    <row r="32">
      <c r="A32" s="80"/>
      <c r="B32" s="78"/>
      <c r="C32" s="46" t="s">
        <v>196</v>
      </c>
      <c r="D32" s="81">
        <v>8.0</v>
      </c>
      <c r="E32" s="78"/>
      <c r="F32" s="81">
        <v>13.0</v>
      </c>
      <c r="G32" s="78"/>
    </row>
    <row r="33">
      <c r="A33" s="70"/>
      <c r="B33" s="77"/>
      <c r="C33" s="32" t="s">
        <v>197</v>
      </c>
      <c r="D33" s="82">
        <v>8.0</v>
      </c>
      <c r="E33" s="36"/>
      <c r="F33" s="82">
        <v>13.0</v>
      </c>
      <c r="G33" s="36"/>
    </row>
    <row r="34">
      <c r="A34" s="80"/>
      <c r="B34" s="78"/>
      <c r="C34" s="46" t="s">
        <v>198</v>
      </c>
      <c r="D34" s="81">
        <v>8.0</v>
      </c>
      <c r="E34" s="78"/>
      <c r="F34" s="81">
        <v>8.0</v>
      </c>
      <c r="G34" s="78"/>
    </row>
    <row r="35">
      <c r="A35" s="70"/>
      <c r="B35" s="77"/>
      <c r="C35" s="36"/>
      <c r="D35" s="64"/>
      <c r="E35" s="36"/>
      <c r="F35" s="64"/>
      <c r="G35" s="36"/>
    </row>
    <row r="36">
      <c r="A36" s="75">
        <f t="shared" ref="A36:B36" si="7">A11</f>
        <v>3</v>
      </c>
      <c r="B36" s="76" t="str">
        <f t="shared" si="7"/>
        <v>Creating a basic demo to be shown to Dr. Kaiser. Starting with simple views, database and llm communication</v>
      </c>
      <c r="C36" s="58"/>
      <c r="D36" s="58"/>
      <c r="E36" s="58"/>
      <c r="F36" s="58"/>
      <c r="G36" s="58"/>
    </row>
    <row r="37">
      <c r="A37" s="70"/>
      <c r="B37" s="77"/>
      <c r="C37" s="32" t="s">
        <v>199</v>
      </c>
      <c r="D37" s="32">
        <v>5.0</v>
      </c>
      <c r="E37" s="36"/>
      <c r="F37" s="32">
        <v>5.0</v>
      </c>
      <c r="G37" s="36"/>
    </row>
    <row r="38">
      <c r="A38" s="80"/>
      <c r="B38" s="78"/>
      <c r="C38" s="46" t="s">
        <v>200</v>
      </c>
      <c r="D38" s="81">
        <v>8.0</v>
      </c>
      <c r="E38" s="78"/>
      <c r="F38" s="46">
        <v>8.0</v>
      </c>
      <c r="G38" s="78"/>
    </row>
    <row r="39">
      <c r="A39" s="70"/>
      <c r="B39" s="77"/>
      <c r="C39" s="32" t="s">
        <v>201</v>
      </c>
      <c r="D39" s="82">
        <v>1.0</v>
      </c>
      <c r="E39" s="36"/>
      <c r="F39" s="32">
        <v>1.0</v>
      </c>
      <c r="G39" s="36"/>
    </row>
    <row r="40">
      <c r="A40" s="80"/>
      <c r="B40" s="78"/>
      <c r="C40" s="30" t="s">
        <v>202</v>
      </c>
      <c r="D40" s="81">
        <v>3.0</v>
      </c>
      <c r="E40" s="78"/>
      <c r="F40" s="46">
        <v>3.0</v>
      </c>
      <c r="G40" s="78"/>
    </row>
    <row r="41">
      <c r="A41" s="80"/>
      <c r="B41" s="78"/>
      <c r="C41" s="30" t="s">
        <v>203</v>
      </c>
      <c r="D41" s="81">
        <v>5.0</v>
      </c>
      <c r="E41" s="78"/>
      <c r="F41" s="46">
        <v>5.0</v>
      </c>
      <c r="G41" s="78"/>
    </row>
    <row r="42">
      <c r="A42" s="80"/>
      <c r="B42" s="78"/>
      <c r="C42" s="58"/>
      <c r="D42" s="71"/>
      <c r="E42" s="78"/>
      <c r="F42" s="78"/>
      <c r="G42" s="78"/>
    </row>
    <row r="43">
      <c r="A43" s="75">
        <f t="shared" ref="A43:B43" si="8">A12</f>
        <v>4</v>
      </c>
      <c r="B43" s="76" t="str">
        <f t="shared" si="8"/>
        <v>Creating the first version of the frontend, finishing up the basic demo of the backend. Adding a Readme and writting a proper Build script.</v>
      </c>
      <c r="C43" s="58"/>
      <c r="D43" s="71"/>
      <c r="E43" s="78"/>
      <c r="F43" s="78"/>
      <c r="G43" s="78"/>
    </row>
    <row r="44">
      <c r="A44" s="80"/>
      <c r="B44" s="78"/>
      <c r="C44" s="30" t="s">
        <v>204</v>
      </c>
      <c r="D44" s="81">
        <v>3.0</v>
      </c>
      <c r="E44" s="78"/>
      <c r="F44" s="46">
        <v>3.0</v>
      </c>
      <c r="G44" s="78"/>
    </row>
    <row r="45">
      <c r="A45" s="80"/>
      <c r="B45" s="78"/>
      <c r="C45" s="30" t="s">
        <v>205</v>
      </c>
      <c r="D45" s="81">
        <v>3.0</v>
      </c>
      <c r="E45" s="78"/>
      <c r="F45" s="46">
        <v>3.0</v>
      </c>
      <c r="G45" s="78"/>
    </row>
    <row r="46">
      <c r="A46" s="80"/>
      <c r="B46" s="78"/>
      <c r="C46" s="83" t="s">
        <v>221</v>
      </c>
      <c r="D46" s="81">
        <v>1.0</v>
      </c>
      <c r="E46" s="78"/>
      <c r="F46" s="46">
        <v>1.0</v>
      </c>
      <c r="G46" s="78"/>
    </row>
    <row r="47">
      <c r="A47" s="80"/>
      <c r="B47" s="78"/>
      <c r="C47" s="30" t="s">
        <v>207</v>
      </c>
      <c r="D47" s="81">
        <v>1.0</v>
      </c>
      <c r="E47" s="78"/>
      <c r="F47" s="46">
        <v>3.0</v>
      </c>
      <c r="G47" s="78"/>
    </row>
    <row r="48">
      <c r="A48" s="80"/>
      <c r="B48" s="78"/>
      <c r="C48" s="30" t="s">
        <v>208</v>
      </c>
      <c r="D48" s="81">
        <v>2.0</v>
      </c>
      <c r="E48" s="78"/>
      <c r="F48" s="46">
        <v>3.0</v>
      </c>
      <c r="G48" s="78"/>
    </row>
    <row r="49">
      <c r="B49" s="78"/>
      <c r="C49" s="58"/>
      <c r="D49" s="71"/>
      <c r="E49" s="78"/>
      <c r="F49" s="78"/>
      <c r="G49" s="78"/>
    </row>
    <row r="50">
      <c r="A50" s="75">
        <f t="shared" ref="A50:B50" si="9">A13</f>
        <v>5</v>
      </c>
      <c r="B50" s="76" t="str">
        <f t="shared" si="9"/>
        <v>Closing up all features from previous sprints, finalizing the frontend so that we have a working demo for Industry Partner.</v>
      </c>
      <c r="C50" s="58"/>
      <c r="D50" s="71"/>
      <c r="E50" s="78"/>
      <c r="F50" s="78"/>
      <c r="G50" s="78"/>
    </row>
    <row r="51">
      <c r="A51" s="80"/>
      <c r="B51" s="78"/>
      <c r="C51" s="30" t="s">
        <v>209</v>
      </c>
      <c r="D51" s="81">
        <v>8.0</v>
      </c>
      <c r="E51" s="78"/>
      <c r="F51" s="46">
        <v>8.0</v>
      </c>
      <c r="G51" s="78"/>
    </row>
    <row r="52">
      <c r="A52" s="80"/>
      <c r="B52" s="78"/>
      <c r="C52" s="30" t="s">
        <v>210</v>
      </c>
      <c r="D52" s="81">
        <v>5.0</v>
      </c>
      <c r="E52" s="78"/>
      <c r="F52" s="46">
        <v>3.0</v>
      </c>
      <c r="G52" s="78"/>
    </row>
    <row r="53">
      <c r="A53" s="80"/>
      <c r="B53" s="78"/>
      <c r="C53" s="30" t="s">
        <v>211</v>
      </c>
      <c r="D53" s="81">
        <v>3.0</v>
      </c>
      <c r="E53" s="78"/>
      <c r="F53" s="46">
        <v>3.0</v>
      </c>
      <c r="G53" s="78"/>
    </row>
    <row r="54">
      <c r="A54" s="58"/>
      <c r="B54" s="58"/>
      <c r="C54" s="30" t="s">
        <v>212</v>
      </c>
      <c r="D54" s="30">
        <v>3.0</v>
      </c>
      <c r="E54" s="58"/>
      <c r="F54" s="46">
        <v>5.0</v>
      </c>
      <c r="G54" s="78"/>
    </row>
    <row r="55">
      <c r="A55" s="58"/>
      <c r="B55" s="58"/>
      <c r="C55" s="58"/>
      <c r="D55" s="58"/>
      <c r="E55" s="58"/>
      <c r="F55" s="36"/>
      <c r="G55" s="36"/>
    </row>
    <row r="56">
      <c r="A56" s="84">
        <f t="shared" ref="A56:B56" si="10">A14</f>
        <v>6</v>
      </c>
      <c r="B56" s="76" t="str">
        <f t="shared" si="10"/>
        <v>Working on the thematic analysis logic for the mid project release</v>
      </c>
      <c r="C56" s="58"/>
      <c r="D56" s="58"/>
      <c r="F56" s="58"/>
      <c r="G56" s="58"/>
    </row>
    <row r="57">
      <c r="A57" s="80"/>
      <c r="B57" s="78"/>
      <c r="C57" s="30" t="s">
        <v>213</v>
      </c>
      <c r="D57" s="30">
        <v>5.0</v>
      </c>
      <c r="E57" s="58"/>
      <c r="F57" s="30">
        <v>5.0</v>
      </c>
      <c r="G57" s="58"/>
    </row>
    <row r="58">
      <c r="A58" s="80"/>
      <c r="B58" s="78"/>
      <c r="C58" s="30"/>
      <c r="D58" s="30"/>
      <c r="E58" s="58"/>
      <c r="F58" s="58"/>
      <c r="G58" s="58"/>
    </row>
    <row r="59">
      <c r="A59" s="84">
        <v>7.0</v>
      </c>
      <c r="B59" s="88" t="str">
        <f>B15</f>
        <v>Finishing work of Sprint 6. Refactoring and Optimization</v>
      </c>
      <c r="C59" s="30"/>
      <c r="D59" s="30"/>
      <c r="E59" s="58"/>
      <c r="F59" s="58"/>
      <c r="G59" s="58"/>
    </row>
    <row r="60">
      <c r="A60" s="80"/>
      <c r="B60" s="78"/>
      <c r="C60" s="30" t="s">
        <v>214</v>
      </c>
      <c r="D60" s="30">
        <v>2.0</v>
      </c>
      <c r="E60" s="58"/>
      <c r="F60" s="58"/>
      <c r="G60" s="58"/>
    </row>
    <row r="61">
      <c r="A61" s="80"/>
      <c r="B61" s="78"/>
      <c r="C61" s="30" t="s">
        <v>215</v>
      </c>
      <c r="D61" s="30">
        <v>2.0</v>
      </c>
      <c r="E61" s="58"/>
      <c r="F61" s="58"/>
      <c r="G61" s="58"/>
    </row>
    <row r="62">
      <c r="A62" s="80"/>
      <c r="B62" s="78"/>
      <c r="C62" s="30" t="s">
        <v>216</v>
      </c>
      <c r="D62" s="23">
        <v>3.0</v>
      </c>
      <c r="E62" s="58"/>
      <c r="F62" s="58"/>
      <c r="G62" s="58"/>
    </row>
    <row r="63">
      <c r="A63" s="80"/>
      <c r="B63" s="78"/>
      <c r="C63" s="30" t="s">
        <v>217</v>
      </c>
      <c r="D63" s="30">
        <v>2.0</v>
      </c>
      <c r="E63" s="58"/>
      <c r="F63" s="58"/>
      <c r="G63" s="58"/>
    </row>
    <row r="64">
      <c r="A64" s="80"/>
      <c r="B64" s="78"/>
      <c r="E64" s="58"/>
      <c r="F64" s="58"/>
      <c r="G64" s="58"/>
    </row>
    <row r="65">
      <c r="A65" s="84">
        <v>8.0</v>
      </c>
      <c r="B65" s="88" t="s">
        <v>222</v>
      </c>
      <c r="C65" s="34"/>
      <c r="D65" s="30"/>
      <c r="E65" s="58"/>
      <c r="F65" s="58"/>
      <c r="G65" s="58"/>
    </row>
    <row r="66">
      <c r="A66" s="80"/>
      <c r="B66" s="78"/>
      <c r="C66" s="30" t="s">
        <v>223</v>
      </c>
      <c r="D66" s="30">
        <v>8.0</v>
      </c>
      <c r="E66" s="58"/>
      <c r="F66" s="58"/>
      <c r="G66" s="58"/>
    </row>
    <row r="67">
      <c r="A67" s="80"/>
      <c r="B67" s="78"/>
      <c r="C67" s="58"/>
      <c r="D67" s="58"/>
      <c r="E67" s="58"/>
      <c r="F67" s="58"/>
      <c r="G67" s="58"/>
    </row>
  </sheetData>
  <hyperlinks>
    <hyperlink r:id="rId1" ref="C46"/>
  </hyperlinks>
  <printOptions gridLines="1" horizontalCentered="1"/>
  <pageMargins bottom="0.75" footer="0.0" header="0.0" left="0.7" right="0.7" top="0.75"/>
  <pageSetup fitToHeight="0" paperSize="9" cellComments="atEnd" orientation="landscape" pageOrder="overThenDown"/>
  <drawing r:id="rId2"/>
  <tableParts count="1">
    <tablePart r:id="rId4"/>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4.13"/>
  </cols>
  <sheetData>
    <row r="9">
      <c r="C9" s="86">
        <f>average('Velocity Tracking'!B2:B14)</f>
        <v>14.71428571</v>
      </c>
    </row>
    <row r="10">
      <c r="C10" s="85">
        <f t="shared" ref="C10:C21" si="1">C9</f>
        <v>14.71428571</v>
      </c>
    </row>
    <row r="11">
      <c r="C11" s="85">
        <f t="shared" si="1"/>
        <v>14.71428571</v>
      </c>
    </row>
    <row r="12">
      <c r="C12" s="85">
        <f t="shared" si="1"/>
        <v>14.71428571</v>
      </c>
    </row>
    <row r="13">
      <c r="C13" s="85">
        <f t="shared" si="1"/>
        <v>14.71428571</v>
      </c>
    </row>
    <row r="14">
      <c r="C14" s="85">
        <f t="shared" si="1"/>
        <v>14.71428571</v>
      </c>
    </row>
    <row r="15">
      <c r="C15" s="85">
        <f t="shared" si="1"/>
        <v>14.71428571</v>
      </c>
    </row>
    <row r="16">
      <c r="C16" s="85">
        <f t="shared" si="1"/>
        <v>14.71428571</v>
      </c>
    </row>
    <row r="17">
      <c r="C17" s="85">
        <f t="shared" si="1"/>
        <v>14.71428571</v>
      </c>
    </row>
    <row r="18">
      <c r="C18" s="85">
        <f t="shared" si="1"/>
        <v>14.71428571</v>
      </c>
    </row>
    <row r="19">
      <c r="C19" s="85">
        <f t="shared" si="1"/>
        <v>14.71428571</v>
      </c>
    </row>
    <row r="20">
      <c r="C20" s="85">
        <f t="shared" si="1"/>
        <v>14.71428571</v>
      </c>
    </row>
    <row r="21">
      <c r="C21" s="85">
        <f t="shared" si="1"/>
        <v>14.71428571</v>
      </c>
    </row>
    <row r="33">
      <c r="A33" s="7" t="s">
        <v>218</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7">
      <c r="E7">
        <f>'Final Project Release plan'!D5</f>
        <v>97</v>
      </c>
      <c r="F7">
        <f>E7</f>
        <v>97</v>
      </c>
    </row>
    <row r="8">
      <c r="E8" s="85">
        <f>E7-C26</f>
        <v>84.875</v>
      </c>
      <c r="F8">
        <f>'Final Project Release plan'!E9</f>
        <v>92</v>
      </c>
    </row>
    <row r="9">
      <c r="E9" s="85">
        <f>E8-C26</f>
        <v>72.75</v>
      </c>
      <c r="F9">
        <f>'Final Project Release plan'!E10</f>
        <v>73</v>
      </c>
    </row>
    <row r="10">
      <c r="E10" s="85">
        <f>E9-C26</f>
        <v>60.625</v>
      </c>
      <c r="F10">
        <f>'Final Project Release plan'!E11</f>
        <v>51</v>
      </c>
    </row>
    <row r="11">
      <c r="E11" s="85">
        <f>E10-C26</f>
        <v>48.5</v>
      </c>
      <c r="F11">
        <f>'Final Project Release plan'!E12</f>
        <v>41</v>
      </c>
    </row>
    <row r="12">
      <c r="E12" s="85">
        <f>E11-C26</f>
        <v>36.375</v>
      </c>
      <c r="F12">
        <f>'Final Project Release plan'!E13</f>
        <v>22</v>
      </c>
      <c r="P12" s="85"/>
    </row>
    <row r="13">
      <c r="E13" s="86">
        <f>E12-C26</f>
        <v>24.25</v>
      </c>
      <c r="F13">
        <f>'Final Project Release plan'!E14</f>
        <v>17</v>
      </c>
      <c r="P13" s="85"/>
    </row>
    <row r="14">
      <c r="E14" s="86">
        <f>E13-C26</f>
        <v>12.125</v>
      </c>
      <c r="F14">
        <f>'Final Project Release plan'!E15</f>
        <v>8</v>
      </c>
      <c r="P14" s="85"/>
    </row>
    <row r="15">
      <c r="E15" s="86">
        <f>E14-C26</f>
        <v>0</v>
      </c>
      <c r="F15">
        <f>'Final Project Release plan'!E16</f>
        <v>0</v>
      </c>
      <c r="P15" s="85"/>
    </row>
    <row r="16">
      <c r="E16" s="85"/>
    </row>
    <row r="17">
      <c r="E17" s="85"/>
    </row>
    <row r="26">
      <c r="B26" s="23" t="s">
        <v>219</v>
      </c>
      <c r="C26" s="85">
        <f>'Final Project Release plan'!D5/'Final Project Release plan'!A16</f>
        <v>12.125</v>
      </c>
      <c r="D26" s="23" t="s">
        <v>220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9" t="s">
        <v>65</v>
      </c>
      <c r="B1" s="53" t="s">
        <v>224</v>
      </c>
      <c r="C1" s="53" t="s">
        <v>225</v>
      </c>
      <c r="D1" s="90" t="s">
        <v>226</v>
      </c>
    </row>
    <row r="2">
      <c r="A2" s="3"/>
      <c r="B2" s="2" t="s">
        <v>227</v>
      </c>
      <c r="C2" s="2" t="s">
        <v>228</v>
      </c>
      <c r="D2" s="23" t="s">
        <v>229</v>
      </c>
    </row>
    <row r="3">
      <c r="A3" s="3"/>
      <c r="B3" s="23" t="s">
        <v>230</v>
      </c>
      <c r="C3" s="23" t="s">
        <v>231</v>
      </c>
      <c r="D3" s="2" t="s">
        <v>232</v>
      </c>
    </row>
    <row r="4">
      <c r="A4" s="3"/>
      <c r="B4" s="23" t="s">
        <v>233</v>
      </c>
      <c r="C4" s="23" t="s">
        <v>234</v>
      </c>
      <c r="D4" s="23" t="s">
        <v>235</v>
      </c>
    </row>
    <row r="5">
      <c r="A5" s="3"/>
      <c r="B5" s="23" t="s">
        <v>236</v>
      </c>
      <c r="C5" s="2" t="s">
        <v>237</v>
      </c>
      <c r="D5" s="23" t="s">
        <v>238</v>
      </c>
    </row>
    <row r="6">
      <c r="A6" s="3"/>
      <c r="B6" s="23" t="s">
        <v>239</v>
      </c>
      <c r="C6" s="23" t="s">
        <v>240</v>
      </c>
      <c r="D6" s="23" t="s">
        <v>241</v>
      </c>
    </row>
    <row r="7">
      <c r="A7" s="3"/>
      <c r="B7" s="23" t="s">
        <v>242</v>
      </c>
      <c r="C7" s="23" t="s">
        <v>243</v>
      </c>
      <c r="D7" s="2" t="s">
        <v>244</v>
      </c>
    </row>
    <row r="8">
      <c r="A8" s="3"/>
      <c r="B8" s="23" t="s">
        <v>245</v>
      </c>
      <c r="C8" s="2" t="s">
        <v>246</v>
      </c>
      <c r="D8" s="2" t="s">
        <v>247</v>
      </c>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248</v>
      </c>
      <c r="B1" s="4" t="s">
        <v>249</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8" t="s">
        <v>65</v>
      </c>
      <c r="B1" s="4" t="s">
        <v>250</v>
      </c>
      <c r="C1" s="4" t="s">
        <v>251</v>
      </c>
      <c r="D1" s="4" t="s">
        <v>252</v>
      </c>
      <c r="E1" s="4" t="s">
        <v>253</v>
      </c>
      <c r="F1" s="4" t="s">
        <v>72</v>
      </c>
    </row>
    <row r="2">
      <c r="A2" s="91">
        <v>1.0</v>
      </c>
      <c r="B2" s="23" t="s">
        <v>254</v>
      </c>
      <c r="C2" s="23" t="s">
        <v>255</v>
      </c>
      <c r="D2" s="23">
        <v>18.0</v>
      </c>
      <c r="E2" s="23" t="s">
        <v>256</v>
      </c>
      <c r="F2" s="23" t="s">
        <v>257</v>
      </c>
    </row>
    <row r="3">
      <c r="A3" s="91">
        <v>2.0</v>
      </c>
      <c r="B3" s="23" t="s">
        <v>258</v>
      </c>
      <c r="C3" s="23" t="s">
        <v>259</v>
      </c>
      <c r="D3" s="23">
        <v>0.8</v>
      </c>
      <c r="E3" s="23" t="s">
        <v>256</v>
      </c>
      <c r="F3" s="23" t="s">
        <v>260</v>
      </c>
    </row>
    <row r="4">
      <c r="A4" s="91">
        <v>3.0</v>
      </c>
      <c r="B4" s="23" t="s">
        <v>261</v>
      </c>
      <c r="C4" s="23" t="s">
        <v>262</v>
      </c>
      <c r="D4" s="23">
        <v>3.11</v>
      </c>
      <c r="E4" s="23" t="s">
        <v>263</v>
      </c>
      <c r="F4" s="23" t="s">
        <v>264</v>
      </c>
    </row>
    <row r="5">
      <c r="A5" s="91">
        <v>4.0</v>
      </c>
      <c r="B5" s="23" t="s">
        <v>265</v>
      </c>
      <c r="C5" s="23" t="s">
        <v>266</v>
      </c>
      <c r="D5" s="23">
        <v>2.0</v>
      </c>
      <c r="E5" s="23" t="s">
        <v>267</v>
      </c>
      <c r="F5" s="23" t="s">
        <v>268</v>
      </c>
    </row>
    <row r="6">
      <c r="A6" s="91">
        <v>5.0</v>
      </c>
      <c r="B6" s="23" t="s">
        <v>269</v>
      </c>
      <c r="C6" s="23" t="s">
        <v>270</v>
      </c>
      <c r="D6" s="23">
        <v>0.136</v>
      </c>
      <c r="E6" s="23" t="s">
        <v>267</v>
      </c>
      <c r="F6" s="23" t="s">
        <v>271</v>
      </c>
    </row>
    <row r="7">
      <c r="A7" s="91">
        <v>6.0</v>
      </c>
      <c r="B7" s="23" t="s">
        <v>272</v>
      </c>
      <c r="C7" s="23" t="s">
        <v>273</v>
      </c>
      <c r="D7" s="23">
        <v>2.13</v>
      </c>
      <c r="E7" s="23" t="s">
        <v>267</v>
      </c>
      <c r="F7" s="23" t="s">
        <v>274</v>
      </c>
    </row>
    <row r="8">
      <c r="A8" s="91">
        <v>7.0</v>
      </c>
      <c r="B8" s="23" t="s">
        <v>275</v>
      </c>
      <c r="C8" s="23" t="s">
        <v>276</v>
      </c>
      <c r="D8" s="23">
        <v>1.2</v>
      </c>
      <c r="E8" s="23" t="s">
        <v>267</v>
      </c>
      <c r="F8" s="23" t="s">
        <v>277</v>
      </c>
    </row>
    <row r="9">
      <c r="A9" s="91">
        <v>8.0</v>
      </c>
      <c r="B9" s="23" t="s">
        <v>278</v>
      </c>
      <c r="C9" s="23" t="s">
        <v>279</v>
      </c>
      <c r="D9" s="23">
        <v>3.8</v>
      </c>
      <c r="E9" s="23" t="s">
        <v>267</v>
      </c>
      <c r="F9" s="23" t="s">
        <v>280</v>
      </c>
    </row>
    <row r="10">
      <c r="A10" s="91">
        <v>9.0</v>
      </c>
      <c r="B10" s="23" t="s">
        <v>281</v>
      </c>
      <c r="C10" s="23" t="s">
        <v>282</v>
      </c>
      <c r="D10" s="23">
        <v>0.46</v>
      </c>
      <c r="E10" s="23" t="s">
        <v>283</v>
      </c>
      <c r="F10" s="23" t="s">
        <v>284</v>
      </c>
    </row>
    <row r="11">
      <c r="A11" s="91">
        <v>10.0</v>
      </c>
      <c r="B11" s="23" t="s">
        <v>285</v>
      </c>
      <c r="C11" s="23" t="s">
        <v>286</v>
      </c>
      <c r="D11" s="23">
        <v>0.31</v>
      </c>
      <c r="E11" s="23" t="s">
        <v>287</v>
      </c>
      <c r="F11" s="23" t="s">
        <v>288</v>
      </c>
    </row>
    <row r="12">
      <c r="A12" s="91">
        <v>11.0</v>
      </c>
      <c r="B12" s="23" t="s">
        <v>289</v>
      </c>
      <c r="C12" s="23" t="s">
        <v>290</v>
      </c>
      <c r="D12" s="23">
        <v>4.5</v>
      </c>
      <c r="E12" s="23" t="s">
        <v>291</v>
      </c>
      <c r="F12" s="23" t="s">
        <v>292</v>
      </c>
    </row>
    <row r="13">
      <c r="A13" s="91">
        <v>12.0</v>
      </c>
      <c r="B13" s="23" t="s">
        <v>293</v>
      </c>
      <c r="C13" s="23" t="s">
        <v>294</v>
      </c>
      <c r="D13" s="23">
        <v>0.28</v>
      </c>
      <c r="E13" s="23" t="s">
        <v>283</v>
      </c>
      <c r="F13" s="23" t="s">
        <v>295</v>
      </c>
    </row>
    <row r="14">
      <c r="A14" s="91">
        <v>13.0</v>
      </c>
      <c r="B14" s="23" t="s">
        <v>296</v>
      </c>
      <c r="C14" s="23" t="s">
        <v>297</v>
      </c>
      <c r="D14" s="23">
        <v>9.0</v>
      </c>
      <c r="E14" s="23" t="s">
        <v>267</v>
      </c>
      <c r="F14" s="23" t="s">
        <v>298</v>
      </c>
    </row>
    <row r="15">
      <c r="A15" s="91">
        <v>14.0</v>
      </c>
      <c r="B15" s="23" t="s">
        <v>299</v>
      </c>
      <c r="C15" s="23" t="s">
        <v>300</v>
      </c>
      <c r="D15" s="23">
        <v>1.2</v>
      </c>
      <c r="E15" s="23" t="s">
        <v>283</v>
      </c>
      <c r="F15" s="23" t="s">
        <v>301</v>
      </c>
    </row>
    <row r="16">
      <c r="A16" s="91">
        <v>15.0</v>
      </c>
      <c r="B16" s="23" t="s">
        <v>302</v>
      </c>
      <c r="C16" s="23" t="s">
        <v>303</v>
      </c>
      <c r="D16" s="23">
        <v>0.12</v>
      </c>
      <c r="E16" s="23" t="s">
        <v>267</v>
      </c>
      <c r="F16" s="23" t="s">
        <v>304</v>
      </c>
    </row>
    <row r="17">
      <c r="A17" s="91">
        <v>16.0</v>
      </c>
      <c r="B17" s="23" t="s">
        <v>305</v>
      </c>
      <c r="C17" s="23" t="s">
        <v>306</v>
      </c>
      <c r="D17" s="23">
        <v>1.56</v>
      </c>
      <c r="E17" s="23" t="s">
        <v>287</v>
      </c>
      <c r="F17" s="23" t="s">
        <v>307</v>
      </c>
    </row>
    <row r="18">
      <c r="A18" s="91">
        <v>17.0</v>
      </c>
      <c r="B18" s="23" t="s">
        <v>308</v>
      </c>
      <c r="C18" s="23" t="s">
        <v>309</v>
      </c>
      <c r="D18" s="23" t="s">
        <v>310</v>
      </c>
      <c r="E18" s="23" t="s">
        <v>287</v>
      </c>
      <c r="F18" s="23" t="s">
        <v>311</v>
      </c>
    </row>
    <row r="19">
      <c r="A19" s="91">
        <v>18.0</v>
      </c>
      <c r="B19" s="23" t="s">
        <v>308</v>
      </c>
      <c r="C19" s="23" t="s">
        <v>312</v>
      </c>
      <c r="D19" s="23" t="s">
        <v>313</v>
      </c>
      <c r="E19" s="23" t="s">
        <v>287</v>
      </c>
      <c r="F19" s="23" t="s">
        <v>311</v>
      </c>
    </row>
    <row r="20">
      <c r="A20" s="91">
        <v>19.0</v>
      </c>
      <c r="B20" s="23" t="s">
        <v>308</v>
      </c>
      <c r="C20" s="23" t="s">
        <v>314</v>
      </c>
      <c r="D20" s="23" t="s">
        <v>315</v>
      </c>
      <c r="E20" s="23" t="s">
        <v>287</v>
      </c>
      <c r="F20" s="23" t="s">
        <v>311</v>
      </c>
    </row>
    <row r="21">
      <c r="A21" s="91">
        <v>20.0</v>
      </c>
      <c r="B21" s="23" t="s">
        <v>316</v>
      </c>
      <c r="C21" s="23" t="s">
        <v>317</v>
      </c>
      <c r="D21" s="23">
        <v>1.83</v>
      </c>
      <c r="E21" s="23" t="s">
        <v>318</v>
      </c>
      <c r="F21" s="23" t="s">
        <v>319</v>
      </c>
    </row>
    <row r="22">
      <c r="A22" s="91">
        <v>21.0</v>
      </c>
      <c r="B22" s="23" t="s">
        <v>320</v>
      </c>
      <c r="C22" s="23" t="s">
        <v>321</v>
      </c>
      <c r="D22" s="23">
        <v>29.0</v>
      </c>
      <c r="E22" s="23" t="s">
        <v>287</v>
      </c>
      <c r="F22" s="23" t="s">
        <v>322</v>
      </c>
    </row>
    <row r="23">
      <c r="A23" s="91">
        <v>22.0</v>
      </c>
      <c r="B23" s="23" t="s">
        <v>323</v>
      </c>
      <c r="C23" s="23" t="s">
        <v>324</v>
      </c>
      <c r="D23" s="91">
        <v>3.1</v>
      </c>
      <c r="E23" s="23" t="s">
        <v>283</v>
      </c>
      <c r="F23" s="23" t="s">
        <v>325</v>
      </c>
    </row>
    <row r="24">
      <c r="A24" s="91">
        <v>23.0</v>
      </c>
      <c r="B24" s="23" t="s">
        <v>326</v>
      </c>
      <c r="C24" s="23" t="s">
        <v>327</v>
      </c>
      <c r="D24" s="91">
        <v>3.1</v>
      </c>
      <c r="E24" s="23" t="s">
        <v>283</v>
      </c>
      <c r="F24" s="23" t="s">
        <v>328</v>
      </c>
    </row>
    <row r="25">
      <c r="A25" s="91">
        <v>24.0</v>
      </c>
      <c r="B25" s="23" t="s">
        <v>329</v>
      </c>
      <c r="C25" s="23" t="s">
        <v>330</v>
      </c>
      <c r="D25" s="91">
        <v>0.9</v>
      </c>
      <c r="E25" s="23" t="s">
        <v>331</v>
      </c>
      <c r="F25" s="23" t="s">
        <v>332</v>
      </c>
    </row>
    <row r="26">
      <c r="A26" s="91"/>
      <c r="B26" s="23"/>
      <c r="C26" s="23"/>
      <c r="D26" s="23"/>
      <c r="E26" s="23"/>
      <c r="F26" s="23"/>
    </row>
    <row r="27">
      <c r="A27" s="91"/>
      <c r="B27" s="23"/>
      <c r="C27" s="23"/>
      <c r="D27" s="23"/>
      <c r="E27" s="23"/>
      <c r="F27" s="23"/>
    </row>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92"/>
      <c r="B1" s="93" t="str">
        <f>'Project Team'!B1</f>
        <v>First Name</v>
      </c>
      <c r="C1" s="94" t="s">
        <v>333</v>
      </c>
      <c r="D1" s="95"/>
      <c r="E1" s="96"/>
      <c r="F1" s="97"/>
      <c r="G1" s="98"/>
      <c r="H1" s="98"/>
    </row>
    <row r="2">
      <c r="A2" s="99" t="str">
        <f>'Project Team'!A2</f>
        <v>Kahvecioglu</v>
      </c>
      <c r="B2" s="99" t="str">
        <f>'Project Team'!B2</f>
        <v>Selin</v>
      </c>
      <c r="C2" s="100">
        <v>2.0</v>
      </c>
      <c r="D2" s="101"/>
      <c r="E2" s="102">
        <f>average(C2:C10)</f>
        <v>2</v>
      </c>
      <c r="F2" s="103" t="str">
        <f>if(stdev(C2:C7) &gt; 0,"NOK", "OK")</f>
        <v>OK</v>
      </c>
      <c r="G2" s="104"/>
      <c r="H2" s="104"/>
    </row>
    <row r="3">
      <c r="A3" s="105" t="str">
        <f>'Project Team'!A3</f>
        <v>de Sa Filho</v>
      </c>
      <c r="B3" s="105" t="str">
        <f>'Project Team'!B3</f>
        <v>Fabiano</v>
      </c>
      <c r="C3" s="100" t="s">
        <v>76</v>
      </c>
      <c r="D3" s="106"/>
      <c r="G3" s="107"/>
      <c r="H3" s="107"/>
    </row>
    <row r="4">
      <c r="A4" s="99" t="str">
        <f>'Project Team'!A4</f>
        <v>Ammann</v>
      </c>
      <c r="B4" s="99" t="str">
        <f>'Project Team'!B4</f>
        <v>Paul</v>
      </c>
      <c r="C4" s="100">
        <v>2.0</v>
      </c>
      <c r="D4" s="101"/>
      <c r="G4" s="104"/>
      <c r="H4" s="104"/>
    </row>
    <row r="5">
      <c r="A5" s="105"/>
      <c r="B5" s="105"/>
      <c r="C5" s="100"/>
      <c r="D5" s="108"/>
      <c r="E5" s="108"/>
      <c r="F5" s="108"/>
      <c r="G5" s="107"/>
      <c r="H5" s="107"/>
    </row>
    <row r="6">
      <c r="A6" s="99" t="str">
        <f>'Project Team'!A6</f>
        <v>Wendlandt</v>
      </c>
      <c r="B6" s="99" t="str">
        <f>'Project Team'!B6</f>
        <v>Julian</v>
      </c>
      <c r="C6" s="100">
        <v>2.0</v>
      </c>
      <c r="D6" s="109"/>
      <c r="E6" s="110">
        <v>0.0</v>
      </c>
      <c r="F6" s="111" t="s">
        <v>334</v>
      </c>
      <c r="G6" s="104"/>
      <c r="H6" s="104"/>
    </row>
    <row r="7">
      <c r="A7" s="105" t="str">
        <f>'Project Team'!A7</f>
        <v>Müermann</v>
      </c>
      <c r="B7" s="105" t="str">
        <f>'Project Team'!B7</f>
        <v>Ole</v>
      </c>
      <c r="C7" s="100">
        <v>2.0</v>
      </c>
      <c r="D7" s="108"/>
      <c r="E7" s="110">
        <v>1.0</v>
      </c>
      <c r="F7" s="111" t="s">
        <v>335</v>
      </c>
      <c r="G7" s="107"/>
      <c r="H7" s="107"/>
    </row>
    <row r="8">
      <c r="A8" s="99" t="str">
        <f>'Project Team'!A8</f>
        <v>Klarer</v>
      </c>
      <c r="B8" s="99" t="str">
        <f>'Project Team'!B8</f>
        <v>Paul</v>
      </c>
      <c r="C8" s="100">
        <v>2.0</v>
      </c>
      <c r="D8" s="109"/>
      <c r="E8" s="110">
        <v>2.0</v>
      </c>
      <c r="F8" s="111" t="s">
        <v>336</v>
      </c>
      <c r="G8" s="104"/>
      <c r="H8" s="104"/>
    </row>
    <row r="9">
      <c r="A9" s="105"/>
      <c r="B9" s="105"/>
      <c r="C9" s="112"/>
      <c r="D9" s="108"/>
      <c r="E9" s="110">
        <v>3.0</v>
      </c>
      <c r="F9" s="111" t="s">
        <v>337</v>
      </c>
      <c r="G9" s="107"/>
      <c r="H9" s="107"/>
    </row>
    <row r="10">
      <c r="A10" s="99" t="str">
        <f>'Project Team'!A10</f>
        <v>Annus</v>
      </c>
      <c r="B10" s="99" t="str">
        <f>'Project Team'!B10</f>
        <v>Mohammad</v>
      </c>
      <c r="C10" s="100">
        <v>2.0</v>
      </c>
      <c r="D10" s="109"/>
      <c r="E10" s="110">
        <v>5.0</v>
      </c>
      <c r="F10" s="111" t="s">
        <v>338</v>
      </c>
      <c r="G10" s="104"/>
      <c r="H10" s="104"/>
    </row>
    <row r="11">
      <c r="A11" s="113" t="s">
        <v>60</v>
      </c>
      <c r="B11" s="113" t="s">
        <v>61</v>
      </c>
      <c r="C11" s="100">
        <v>2.0</v>
      </c>
      <c r="D11" s="108"/>
      <c r="E11" s="110">
        <v>8.0</v>
      </c>
      <c r="F11" s="111" t="s">
        <v>339</v>
      </c>
      <c r="G11" s="107"/>
      <c r="H11" s="107"/>
    </row>
    <row r="12">
      <c r="A12" s="99"/>
      <c r="B12" s="99"/>
      <c r="C12" s="114"/>
      <c r="D12" s="109"/>
      <c r="E12" s="110">
        <v>13.0</v>
      </c>
      <c r="F12" s="111" t="s">
        <v>340</v>
      </c>
      <c r="G12" s="104"/>
      <c r="H12" s="104"/>
    </row>
    <row r="13">
      <c r="A13" s="105"/>
      <c r="B13" s="105"/>
      <c r="C13" s="108"/>
      <c r="D13" s="108"/>
      <c r="E13" s="108"/>
      <c r="F13" s="108"/>
      <c r="G13" s="107"/>
      <c r="H13" s="107"/>
    </row>
    <row r="14">
      <c r="A14" s="115" t="s">
        <v>341</v>
      </c>
      <c r="B14" s="116"/>
      <c r="C14" s="116"/>
      <c r="D14" s="116"/>
      <c r="E14" s="116"/>
      <c r="F14" s="116"/>
      <c r="G14" s="116"/>
      <c r="H14" s="116"/>
    </row>
    <row r="15">
      <c r="A15" s="117"/>
      <c r="B15" s="117"/>
      <c r="C15" s="117"/>
      <c r="D15" s="117"/>
      <c r="E15" s="117"/>
      <c r="F15" s="117"/>
      <c r="G15" s="117"/>
      <c r="H15" s="117"/>
    </row>
    <row r="16">
      <c r="A16" s="118" t="s">
        <v>342</v>
      </c>
      <c r="B16" s="119"/>
      <c r="C16" s="119"/>
      <c r="D16" s="119"/>
      <c r="E16" s="119"/>
      <c r="F16" s="119"/>
      <c r="G16" s="119"/>
      <c r="H16" s="119"/>
    </row>
    <row r="17">
      <c r="A17" s="120" t="s">
        <v>343</v>
      </c>
      <c r="B17" s="117"/>
      <c r="C17" s="117"/>
      <c r="D17" s="117"/>
      <c r="E17" s="117"/>
      <c r="F17" s="117"/>
      <c r="G17" s="117"/>
      <c r="H17" s="117"/>
    </row>
    <row r="18">
      <c r="A18" s="118" t="s">
        <v>344</v>
      </c>
      <c r="B18" s="119"/>
      <c r="C18" s="119"/>
      <c r="D18" s="119"/>
      <c r="E18" s="119"/>
      <c r="F18" s="119"/>
      <c r="G18" s="119"/>
      <c r="H18" s="119"/>
    </row>
    <row r="19">
      <c r="A19" s="117"/>
      <c r="B19" s="117"/>
      <c r="C19" s="117"/>
      <c r="D19" s="117"/>
      <c r="E19" s="117"/>
      <c r="F19" s="117"/>
      <c r="G19" s="117"/>
      <c r="H19" s="117"/>
    </row>
    <row r="20">
      <c r="A20" s="119"/>
      <c r="B20" s="119"/>
      <c r="C20" s="119"/>
      <c r="D20" s="119"/>
      <c r="E20" s="119"/>
      <c r="F20" s="119"/>
      <c r="G20" s="119"/>
      <c r="H20" s="119"/>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