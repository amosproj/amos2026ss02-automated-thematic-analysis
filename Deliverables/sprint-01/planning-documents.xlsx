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<sst xmlns="http://schemas.openxmlformats.org/spreadsheetml/2006/main" count="289" uniqueCount="182">
  <si>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</si>
  <si>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</si>
  <si>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</si>
  <si>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</si>
  <si>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</si>
  <si>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</si>
  <si>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</si>
  <si>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</si>
  <si>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</si>
  <si>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</si>
  <si>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</si>
  <si>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</si>
  <si>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</si>
  <si>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</si>
  <si>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</si>
  <si>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</si>
  <si>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</si>
  <si>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</si>
  <si>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</si>
  <si>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</si>
  <si>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</si>
  <si>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</si>
  <si>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</si>
  <si>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</si>
  <si>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</si>
  <si>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</si>
  <si>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</si>
  <si>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</si>
  <si>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</si>
  <si>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</si>
  <si>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Ingenieur85</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</si>
  <si>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</si>
  <si>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</si>
  <si>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</si>
  <si>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</si>
  <si>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</si>
  <si>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</si>
  <si>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</si>
  <si>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</si>
  <si>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</si>
  <si>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</si>
  <si>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</si>
  <si>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</si>
  <si>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</si>
  <si>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</si>
  <si>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</si>
  <si>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</si>
  <si>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</si>
  <si>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</si>
  <si>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</si>
  <si>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</si>
  <si>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</si>
  <si>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</si>
  <si>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</si>
  <si>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</si>
  <si>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</si>
  <si>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</si>
  <si>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</si>
  <si>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</si>
  <si>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</si>
  <si>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</si>
  <si>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</si>
  <si>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</si>
  <si>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</si>
  <si>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</si>
  <si>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</si>
  <si>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</si>
  <si>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</si>
  <si>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</si>
  <si>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</si>
  <si>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</si>
  <si>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</si>
  <si>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</si>
  <si>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</si>
  <si>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</si>
  <si>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</si>
  <si>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</si>
  <si>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</si>
  <si>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</si>
  <si>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</si>
  <si>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Mid-term due</t>
  </si>
  <si>
    <t>Hamid Rasul</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</si>
  <si>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</si>
  <si>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</si>
  <si>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</si>
  <si>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</si>
  <si>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</si>
  <si>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</si>
  <si>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</si>
  <si>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</si>
  <si>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</si>
  <si>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</si>
  <si>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</si>
  <si>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</si>
  <si>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</si>
  <si>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</si>
  <si>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</si>
  <si>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</si>
  <si>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</si>
  <si>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</si>
  <si>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</si>
  <si>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</si>
  <si>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</si>
  <si>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</si>
  <si>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</si>
  <si>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</si>
  <si>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</si>
  <si>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</si>
  <si>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</si>
  <si>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</si>
  <si>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</si>
  <si>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</si>
  <si>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</si>
  <si>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</si>
  <si>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</si>
  <si>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</si>
  <si>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</si>
  <si>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</si>
  <si>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</si>
  <si>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</si>
  <si>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</si>
  <si>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</si>
  <si>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</si>
  <si>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</si>
  <si>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</si>
  <si>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</si>
  <si>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</si>
  <si>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</si>
  <si>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</si>
  <si>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</si>
  <si>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 We build on QuaLLM by incorporating this demographic layer, inferring how discovered themes distribute across the profile of research subjects, and surfacing patterns that a purely manual process would likely miss.</t>
  </si>
  <si>
    <t>Term</t>
  </si>
  <si>
    <t>Definition</t>
  </si>
  <si>
    <t>Corpus / Dataset</t>
  </si>
  <si>
    <t>The 1,058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</si>
  <si>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</si>
  <si>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t>
  </si>
  <si>
    <t>Thematic Analysis</t>
  </si>
  <si>
    <t>The qualitative method of identifying and analyzing patterns of meaning (themes) in a dataset. These themes should be followed by a short description and some quantitative measures of prevalence in the dataset.</t>
  </si>
  <si>
    <t>QuaLLM</t>
  </si>
  <si>
    <t>The specific LLM-based framework serving as the baseline architecture for our project. Suggested by Dr. Kaiser, can be seen on Rao et al.</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</si>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</sst>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z val="10.0"/>
      <color rgb="FF59636E"/>
      <name val="Arial"/>
    </font>
    <font>
      <b/>
      <name val="Arial"/>
    </font>
    <font>
      <name val="Arial"/>
    </font>
    <font>
      <u/>
      <color rgb="FF0000FF"/>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0">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5"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6" numFmtId="0" xfId="0" applyAlignment="1" applyFont="1">
      <alignment shrinkToFit="0" vertical="bottom" wrapText="1"/>
    </xf>
    <xf borderId="0" fillId="2"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0" fontId="0" numFmtId="0" xfId="0" applyAlignment="1" applyFont="1">
      <alignment readingOrder="0" shrinkToFit="0" wrapText="1"/>
    </xf>
    <xf borderId="0" fillId="2" fontId="6" numFmtId="0" xfId="0" applyAlignment="1" applyFont="1">
      <alignment readingOrder="0" shrinkToFit="0" vertical="bottom" wrapText="1"/>
    </xf>
    <xf borderId="0" fillId="4" fontId="8" numFmtId="0" xfId="0" applyAlignment="1" applyFont="1">
      <alignment readingOrder="0" shrinkToFit="0" vertical="bottom" wrapText="1"/>
    </xf>
    <xf borderId="0" fillId="4" fontId="7" numFmtId="0" xfId="0" applyAlignment="1" applyFont="1">
      <alignment shrinkToFit="0" vertical="bottom" wrapText="1"/>
    </xf>
    <xf borderId="0" fillId="2" fontId="6"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6" numFmtId="0" xfId="0" applyAlignment="1" applyFont="1">
      <alignment shrinkToFit="0" vertical="bottom" wrapText="0"/>
    </xf>
    <xf borderId="0" fillId="3" fontId="6" numFmtId="0" xfId="0" applyAlignment="1" applyFont="1">
      <alignment horizontal="center" readingOrder="0" shrinkToFit="0" vertical="bottom" wrapText="1"/>
    </xf>
    <xf borderId="0" fillId="2" fontId="7" numFmtId="0" xfId="0" applyAlignment="1" applyFont="1">
      <alignment horizontal="left" shrinkToFit="0" vertical="bottom" wrapText="1"/>
    </xf>
    <xf borderId="0" fillId="2" fontId="7" numFmtId="0" xfId="0" applyAlignment="1" applyFont="1">
      <alignment shrinkToFit="0" vertical="bottom" wrapText="0"/>
    </xf>
    <xf borderId="0" fillId="2" fontId="7" numFmtId="0" xfId="0" applyAlignment="1" applyFont="1">
      <alignment shrinkToFit="0" vertical="bottom" wrapText="1"/>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2" fontId="9" numFmtId="0" xfId="0" applyAlignment="1" applyFont="1">
      <alignment horizontal="center" shrinkToFit="0" vertical="bottom" wrapText="0"/>
    </xf>
    <xf borderId="0" fillId="4" fontId="7" numFmtId="0" xfId="0" applyAlignment="1" applyFont="1">
      <alignment horizontal="left" shrinkToFit="0" vertical="bottom" wrapText="1"/>
    </xf>
    <xf borderId="0" fillId="2" fontId="7" numFmtId="0" xfId="0" applyAlignment="1" applyFont="1">
      <alignment horizontal="right" shrinkToFit="0" vertical="bottom" wrapText="0"/>
    </xf>
    <xf borderId="0" fillId="2" fontId="7" numFmtId="0" xfId="0" applyAlignment="1" applyFont="1">
      <alignment horizontal="left" readingOrder="0" shrinkToFit="0" vertical="bottom" wrapText="1"/>
    </xf>
    <xf borderId="0" fillId="2" fontId="7" numFmtId="0" xfId="0" applyAlignment="1" applyFont="1">
      <alignment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2" fontId="6" numFmtId="0" xfId="0" applyAlignment="1" applyFont="1">
      <alignment horizontal="left" shrinkToFit="0" vertical="bottom" wrapText="0"/>
    </xf>
    <xf borderId="0" fillId="2" fontId="6" numFmtId="0" xfId="0" applyAlignment="1" applyFont="1">
      <alignment shrinkToFit="0" vertical="bottom" wrapText="0"/>
    </xf>
    <xf borderId="0" fillId="4" fontId="7" numFmtId="0" xfId="0" applyAlignment="1" applyFont="1">
      <alignment shrinkToFit="0" vertical="bottom" wrapText="0"/>
    </xf>
    <xf borderId="0" fillId="2" fontId="7" numFmtId="0" xfId="0" applyAlignment="1" applyFont="1">
      <alignment horizontal="right" shrinkToFit="0" vertical="bottom" wrapText="0"/>
    </xf>
    <xf borderId="0" fillId="2" fontId="7" numFmtId="0" xfId="0" applyAlignment="1" applyFont="1">
      <alignment horizontal="left" shrinkToFit="0" vertical="bottom" wrapText="1"/>
    </xf>
    <xf borderId="0" fillId="5" fontId="1" numFmtId="0" xfId="0" applyAlignment="1" applyFont="1">
      <alignment readingOrder="0" shrinkToFit="0" wrapText="0"/>
    </xf>
    <xf borderId="0" fillId="3" fontId="6" numFmtId="0" xfId="0" applyAlignment="1" applyFont="1">
      <alignment shrinkToFit="0" vertical="bottom" wrapText="1"/>
    </xf>
    <xf borderId="0" fillId="7" fontId="6" numFmtId="0" xfId="0" applyAlignment="1" applyFont="1">
      <alignment shrinkToFit="0" vertical="bottom" wrapText="0"/>
    </xf>
    <xf borderId="0" fillId="2" fontId="7"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readingOrder="0" shrinkToFit="0" vertical="bottom" wrapText="0"/>
    </xf>
    <xf borderId="0" fillId="3" fontId="6" numFmtId="0" xfId="0" applyAlignment="1" applyFont="1">
      <alignment shrinkToFit="0" vertical="center" wrapText="1"/>
    </xf>
    <xf borderId="0" fillId="3" fontId="6" numFmtId="0" xfId="0" applyAlignment="1" applyFont="1">
      <alignment horizontal="center" shrinkToFit="0" vertical="center" wrapText="1"/>
    </xf>
    <xf borderId="0" fillId="3" fontId="6" numFmtId="4" xfId="0" applyAlignment="1" applyFont="1" applyNumberFormat="1">
      <alignment shrinkToFit="0" vertical="center" wrapText="1"/>
    </xf>
    <xf borderId="0" fillId="3" fontId="7" numFmtId="4" xfId="0" applyAlignment="1" applyFont="1" applyNumberFormat="1">
      <alignment shrinkToFit="0" vertical="center" wrapText="1"/>
    </xf>
    <xf borderId="0" fillId="3" fontId="7" numFmtId="0" xfId="0" applyAlignment="1" applyFont="1">
      <alignment shrinkToFit="0" vertical="center" wrapText="1"/>
    </xf>
    <xf borderId="0" fillId="3" fontId="1" numFmtId="0" xfId="0" applyAlignment="1" applyFont="1">
      <alignment shrinkToFit="0" vertical="center" wrapText="1"/>
    </xf>
    <xf borderId="0" fillId="2" fontId="6" numFmtId="0" xfId="0" applyAlignment="1" applyFont="1">
      <alignment shrinkToFit="0" vertical="center" wrapText="1"/>
    </xf>
    <xf borderId="0" fillId="5" fontId="7" numFmtId="0" xfId="0" applyAlignment="1" applyFont="1">
      <alignment horizontal="center" readingOrder="0" shrinkToFit="0" vertical="center" wrapText="1"/>
    </xf>
    <xf borderId="0" fillId="2" fontId="7"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4" fontId="7" numFmtId="0" xfId="0" applyAlignment="1" applyFont="1">
      <alignment shrinkToFit="0" vertical="center" wrapText="1"/>
    </xf>
    <xf borderId="0" fillId="2"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2" t="s">
        <v>5</v>
      </c>
    </row>
    <row r="14">
      <c r="A14" s="4" t="s">
        <v>16</v>
      </c>
      <c r="B14" s="8" t="s">
        <v>5</v>
      </c>
    </row>
    <row r="15">
      <c r="A15" s="1"/>
      <c r="B15" s="3"/>
    </row>
    <row r="16">
      <c r="A16" s="1" t="s">
        <v>17</v>
      </c>
      <c r="B16" s="3" t="s">
        <v>5</v>
      </c>
    </row>
    <row r="17">
      <c r="A17" s="1"/>
      <c r="B17" s="3"/>
    </row>
    <row r="18">
      <c r="A18" s="4" t="s">
        <v>18</v>
      </c>
      <c r="B18" s="2" t="s">
        <v>19</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s>
  <printOptions gridLines="1" horizontalCentered="1"/>
  <pageMargins bottom="0.75" footer="0.0" header="0.0" left="0.7" right="0.7" top="0.75"/>
  <pageSetup fitToHeight="0" paperSize="9" cellComments="atEnd" orientation="landscape" pageOrder="overThenDown"/>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20</v>
      </c>
      <c r="B1" s="9" t="s">
        <v>21</v>
      </c>
      <c r="C1" s="9" t="s">
        <v>22</v>
      </c>
      <c r="D1" s="9" t="s">
        <v>23</v>
      </c>
    </row>
    <row r="2">
      <c r="A2" s="10" t="s">
        <v>24</v>
      </c>
      <c r="B2" s="10" t="s">
        <v>25</v>
      </c>
      <c r="C2" s="10" t="s">
        <v>26</v>
      </c>
      <c r="D2" s="10" t="s">
        <v>27</v>
      </c>
    </row>
    <row r="3">
      <c r="A3" s="10" t="s">
        <v>28</v>
      </c>
      <c r="B3" s="10" t="s">
        <v>29</v>
      </c>
      <c r="C3" s="11" t="s">
        <v>30</v>
      </c>
      <c r="D3" s="12" t="s">
        <v>31</v>
      </c>
    </row>
    <row r="4">
      <c r="A4" s="10" t="s">
        <v>32</v>
      </c>
      <c r="B4" s="10" t="s">
        <v>33</v>
      </c>
      <c r="C4" s="10" t="s">
        <v>34</v>
      </c>
      <c r="D4" s="10" t="s">
        <v>35</v>
      </c>
    </row>
    <row r="5">
      <c r="A5" s="10" t="s">
        <v>36</v>
      </c>
      <c r="B5" s="10" t="s">
        <v>37</v>
      </c>
      <c r="C5" s="10" t="s">
        <v>38</v>
      </c>
      <c r="D5" s="13" t="s">
        <v>39</v>
      </c>
    </row>
    <row r="6">
      <c r="A6" s="10" t="s">
        <v>40</v>
      </c>
      <c r="B6" s="10" t="s">
        <v>41</v>
      </c>
      <c r="C6" s="10" t="s">
        <v>42</v>
      </c>
      <c r="D6" s="10" t="s">
        <v>43</v>
      </c>
    </row>
    <row r="7">
      <c r="A7" s="10" t="s">
        <v>44</v>
      </c>
      <c r="B7" s="10" t="s">
        <v>45</v>
      </c>
      <c r="C7" s="10" t="s">
        <v>46</v>
      </c>
      <c r="D7" s="10" t="s">
        <v>47</v>
      </c>
    </row>
    <row r="8">
      <c r="A8" s="10" t="s">
        <v>48</v>
      </c>
      <c r="B8" s="10" t="s">
        <v>33</v>
      </c>
      <c r="C8" s="10" t="s">
        <v>49</v>
      </c>
      <c r="D8" s="10" t="s">
        <v>50</v>
      </c>
    </row>
    <row r="9">
      <c r="A9" s="10" t="s">
        <v>51</v>
      </c>
      <c r="B9" s="10" t="s">
        <v>52</v>
      </c>
      <c r="C9" s="10" t="s">
        <v>53</v>
      </c>
      <c r="D9" s="12" t="s">
        <v>54</v>
      </c>
    </row>
    <row r="10">
      <c r="A10" s="10" t="s">
        <v>55</v>
      </c>
      <c r="B10" s="10" t="s">
        <v>56</v>
      </c>
      <c r="C10" s="10" t="s">
        <v>57</v>
      </c>
      <c r="D10" s="10" t="s">
        <v>58</v>
      </c>
    </row>
    <row r="11">
      <c r="A11" s="10" t="s">
        <v>59</v>
      </c>
      <c r="B11" s="10" t="s">
        <v>60</v>
      </c>
      <c r="C11" s="10" t="s">
        <v>61</v>
      </c>
      <c r="D11" s="10" t="s">
        <v>62</v>
      </c>
    </row>
    <row r="12">
      <c r="A12" s="14"/>
      <c r="B12" s="14"/>
      <c r="C12" s="14"/>
      <c r="D12" s="14"/>
    </row>
    <row r="13">
      <c r="A13" s="9"/>
      <c r="B13" s="15"/>
      <c r="C13" s="15"/>
      <c r="D13" s="15"/>
    </row>
    <row r="14">
      <c r="A14" s="14"/>
      <c r="B14" s="10"/>
      <c r="C14" s="14"/>
      <c r="D14" s="14"/>
    </row>
    <row r="15">
      <c r="A15" s="14"/>
      <c r="B15" s="10"/>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63</v>
      </c>
      <c r="E1" s="16"/>
      <c r="F1" s="17"/>
      <c r="G1" s="17"/>
      <c r="H1" s="16"/>
    </row>
    <row r="2">
      <c r="A2" s="18" t="s">
        <v>64</v>
      </c>
      <c r="B2" s="18" t="s">
        <v>65</v>
      </c>
      <c r="C2" s="18" t="s">
        <v>66</v>
      </c>
      <c r="D2" s="18" t="s">
        <v>67</v>
      </c>
      <c r="E2" s="18" t="s">
        <v>68</v>
      </c>
      <c r="F2" s="19" t="s">
        <v>69</v>
      </c>
      <c r="G2" s="19" t="s">
        <v>70</v>
      </c>
      <c r="H2" s="18" t="s">
        <v>71</v>
      </c>
    </row>
    <row r="3">
      <c r="A3" s="20">
        <v>1.0</v>
      </c>
      <c r="B3" s="21">
        <v>46127.0</v>
      </c>
      <c r="C3" s="10" t="s">
        <v>72</v>
      </c>
      <c r="D3" s="10" t="s">
        <v>73</v>
      </c>
      <c r="E3" s="10" t="s">
        <v>74</v>
      </c>
      <c r="F3" s="10" t="s">
        <v>75</v>
      </c>
      <c r="G3" s="10" t="s">
        <v>76</v>
      </c>
      <c r="H3" s="22"/>
    </row>
    <row r="4">
      <c r="A4" s="20">
        <v>2.0</v>
      </c>
      <c r="B4" s="23">
        <f t="shared" ref="B4:B17" si="1">B3+7</f>
        <v>46134</v>
      </c>
      <c r="C4" s="10" t="s">
        <v>73</v>
      </c>
      <c r="D4" s="10" t="s">
        <v>72</v>
      </c>
      <c r="E4" s="10" t="s">
        <v>74</v>
      </c>
      <c r="F4" s="10" t="s">
        <v>77</v>
      </c>
      <c r="G4" s="10" t="s">
        <v>76</v>
      </c>
      <c r="H4" s="22"/>
    </row>
    <row r="5">
      <c r="A5" s="20">
        <v>3.0</v>
      </c>
      <c r="B5" s="23">
        <f t="shared" si="1"/>
        <v>46141</v>
      </c>
      <c r="C5" s="10" t="s">
        <v>72</v>
      </c>
      <c r="D5" s="10" t="s">
        <v>73</v>
      </c>
      <c r="E5" s="10" t="s">
        <v>74</v>
      </c>
      <c r="F5" s="10" t="s">
        <v>77</v>
      </c>
      <c r="G5" s="10" t="s">
        <v>76</v>
      </c>
      <c r="H5" s="22"/>
    </row>
    <row r="6">
      <c r="A6" s="20">
        <v>4.0</v>
      </c>
      <c r="B6" s="23">
        <f t="shared" si="1"/>
        <v>46148</v>
      </c>
      <c r="C6" s="10" t="s">
        <v>73</v>
      </c>
      <c r="D6" s="10" t="s">
        <v>72</v>
      </c>
      <c r="E6" s="10" t="s">
        <v>74</v>
      </c>
      <c r="F6" s="8" t="s">
        <v>78</v>
      </c>
      <c r="G6" s="10" t="s">
        <v>76</v>
      </c>
      <c r="H6" s="22"/>
    </row>
    <row r="7">
      <c r="A7" s="20">
        <v>5.0</v>
      </c>
      <c r="B7" s="23">
        <f t="shared" si="1"/>
        <v>46155</v>
      </c>
      <c r="C7" s="10" t="s">
        <v>72</v>
      </c>
      <c r="D7" s="10" t="s">
        <v>73</v>
      </c>
      <c r="E7" s="10" t="s">
        <v>74</v>
      </c>
      <c r="F7" s="10" t="s">
        <v>79</v>
      </c>
      <c r="G7" s="10" t="s">
        <v>76</v>
      </c>
      <c r="H7" s="22"/>
    </row>
    <row r="8">
      <c r="A8" s="20">
        <v>6.0</v>
      </c>
      <c r="B8" s="23">
        <f t="shared" si="1"/>
        <v>46162</v>
      </c>
      <c r="C8" s="10" t="s">
        <v>73</v>
      </c>
      <c r="D8" s="10" t="s">
        <v>72</v>
      </c>
      <c r="E8" s="10" t="s">
        <v>74</v>
      </c>
      <c r="F8" s="10" t="s">
        <v>79</v>
      </c>
      <c r="G8" s="10" t="s">
        <v>76</v>
      </c>
      <c r="H8" s="22"/>
    </row>
    <row r="9">
      <c r="A9" s="20">
        <v>7.0</v>
      </c>
      <c r="B9" s="23">
        <f t="shared" si="1"/>
        <v>46169</v>
      </c>
      <c r="C9" s="10" t="s">
        <v>72</v>
      </c>
      <c r="D9" s="10" t="s">
        <v>73</v>
      </c>
      <c r="E9" s="10" t="s">
        <v>74</v>
      </c>
      <c r="F9" s="10" t="s">
        <v>78</v>
      </c>
      <c r="G9" s="10" t="s">
        <v>76</v>
      </c>
      <c r="H9" s="24" t="s">
        <v>80</v>
      </c>
    </row>
    <row r="10">
      <c r="A10" s="20">
        <v>8.0</v>
      </c>
      <c r="B10" s="23">
        <f t="shared" si="1"/>
        <v>46176</v>
      </c>
      <c r="C10" s="10" t="s">
        <v>73</v>
      </c>
      <c r="D10" s="10" t="s">
        <v>72</v>
      </c>
      <c r="E10" s="10" t="s">
        <v>74</v>
      </c>
      <c r="F10" s="10" t="s">
        <v>81</v>
      </c>
      <c r="G10" s="10" t="s">
        <v>76</v>
      </c>
      <c r="H10" s="22"/>
    </row>
    <row r="11">
      <c r="A11" s="20">
        <v>9.0</v>
      </c>
      <c r="B11" s="23">
        <f t="shared" si="1"/>
        <v>46183</v>
      </c>
      <c r="C11" s="10" t="s">
        <v>72</v>
      </c>
      <c r="D11" s="10" t="s">
        <v>73</v>
      </c>
      <c r="E11" s="10" t="s">
        <v>74</v>
      </c>
      <c r="F11" s="10" t="s">
        <v>81</v>
      </c>
      <c r="G11" s="10" t="s">
        <v>76</v>
      </c>
      <c r="H11" s="22"/>
    </row>
    <row r="12">
      <c r="A12" s="20">
        <v>10.0</v>
      </c>
      <c r="B12" s="23">
        <f t="shared" si="1"/>
        <v>46190</v>
      </c>
      <c r="C12" s="10" t="s">
        <v>73</v>
      </c>
      <c r="D12" s="10" t="s">
        <v>72</v>
      </c>
      <c r="E12" s="10" t="s">
        <v>74</v>
      </c>
      <c r="F12" s="10" t="s">
        <v>82</v>
      </c>
      <c r="G12" s="10" t="s">
        <v>76</v>
      </c>
      <c r="H12" s="22"/>
    </row>
    <row r="13">
      <c r="A13" s="20">
        <v>11.0</v>
      </c>
      <c r="B13" s="23">
        <f t="shared" si="1"/>
        <v>46197</v>
      </c>
      <c r="C13" s="10" t="s">
        <v>72</v>
      </c>
      <c r="D13" s="10" t="s">
        <v>73</v>
      </c>
      <c r="E13" s="10" t="s">
        <v>74</v>
      </c>
      <c r="F13" s="8" t="s">
        <v>83</v>
      </c>
      <c r="G13" s="10" t="s">
        <v>76</v>
      </c>
      <c r="H13" s="22"/>
    </row>
    <row r="14">
      <c r="A14" s="20">
        <v>12.0</v>
      </c>
      <c r="B14" s="23">
        <f t="shared" si="1"/>
        <v>46204</v>
      </c>
      <c r="C14" s="10" t="s">
        <v>73</v>
      </c>
      <c r="D14" s="10" t="s">
        <v>72</v>
      </c>
      <c r="E14" s="10" t="s">
        <v>74</v>
      </c>
      <c r="F14" s="10" t="s">
        <v>83</v>
      </c>
      <c r="G14" s="10" t="s">
        <v>76</v>
      </c>
      <c r="H14" s="22"/>
    </row>
    <row r="15">
      <c r="A15" s="20">
        <v>13.0</v>
      </c>
      <c r="B15" s="23">
        <f t="shared" si="1"/>
        <v>46211</v>
      </c>
      <c r="C15" s="10" t="s">
        <v>72</v>
      </c>
      <c r="D15" s="10" t="s">
        <v>73</v>
      </c>
      <c r="E15" s="10" t="s">
        <v>74</v>
      </c>
      <c r="F15" s="10" t="s">
        <v>82</v>
      </c>
      <c r="G15" s="10" t="s">
        <v>76</v>
      </c>
      <c r="H15" s="22"/>
    </row>
    <row r="16">
      <c r="A16" s="20">
        <v>14.0</v>
      </c>
      <c r="B16" s="23">
        <f t="shared" si="1"/>
        <v>46218</v>
      </c>
      <c r="C16" s="10" t="s">
        <v>73</v>
      </c>
      <c r="D16" s="10" t="s">
        <v>72</v>
      </c>
      <c r="E16" s="10" t="s">
        <v>74</v>
      </c>
      <c r="F16" s="10" t="s">
        <v>84</v>
      </c>
      <c r="G16" s="10" t="s">
        <v>76</v>
      </c>
      <c r="H16" s="24" t="s">
        <v>85</v>
      </c>
    </row>
    <row r="17">
      <c r="A17" s="20">
        <v>15.0</v>
      </c>
      <c r="B17" s="23">
        <f t="shared" si="1"/>
        <v>46225</v>
      </c>
      <c r="C17" s="10" t="s">
        <v>72</v>
      </c>
      <c r="D17" s="10" t="s">
        <v>73</v>
      </c>
      <c r="E17" s="10" t="s">
        <v>74</v>
      </c>
      <c r="F17" s="10" t="s">
        <v>84</v>
      </c>
      <c r="G17" s="10" t="s">
        <v>76</v>
      </c>
      <c r="H17" s="24" t="s">
        <v>86</v>
      </c>
    </row>
    <row r="18">
      <c r="A18" s="20"/>
      <c r="B18" s="25"/>
      <c r="C18" s="14"/>
      <c r="D18" s="14"/>
      <c r="E18" s="14"/>
      <c r="F18" s="14"/>
      <c r="G18" s="14"/>
      <c r="H18" s="26"/>
    </row>
    <row r="19">
      <c r="A19" s="24" t="s">
        <v>87</v>
      </c>
      <c r="B19" s="27"/>
      <c r="C19" s="28"/>
      <c r="D19" s="28"/>
      <c r="E19" s="28"/>
      <c r="F19" s="28"/>
      <c r="G19" s="28"/>
      <c r="H19" s="26"/>
    </row>
    <row r="20">
      <c r="A20" s="28"/>
      <c r="B20" s="25"/>
      <c r="C20" s="14"/>
      <c r="D20" s="14"/>
      <c r="E20" s="14"/>
      <c r="F20" s="14"/>
      <c r="G20" s="14"/>
      <c r="H20" s="26"/>
    </row>
    <row r="21">
      <c r="A21" s="20"/>
      <c r="B21" s="25"/>
      <c r="C21" s="14"/>
      <c r="D21" s="14"/>
      <c r="E21" s="14"/>
      <c r="F21" s="14"/>
      <c r="G21" s="14"/>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88</v>
      </c>
      <c r="B1" s="30" t="s">
        <v>89</v>
      </c>
    </row>
    <row r="2" ht="12.0" customHeight="1">
      <c r="A2" s="31"/>
      <c r="B2" s="32" t="s">
        <v>90</v>
      </c>
    </row>
    <row r="3" ht="12.0" customHeight="1">
      <c r="A3" s="31"/>
      <c r="B3" s="33" t="s">
        <v>91</v>
      </c>
    </row>
    <row r="4">
      <c r="A4" s="34" t="s">
        <v>92</v>
      </c>
      <c r="B4" s="30" t="s">
        <v>93</v>
      </c>
    </row>
    <row r="5">
      <c r="A5" s="31"/>
      <c r="B5" s="32" t="s">
        <v>94</v>
      </c>
    </row>
    <row r="6">
      <c r="A6" s="31"/>
      <c r="B6" s="32" t="s">
        <v>95</v>
      </c>
    </row>
    <row r="7">
      <c r="A7" s="31"/>
      <c r="B7" s="32" t="s">
        <v>96</v>
      </c>
    </row>
    <row r="8">
      <c r="A8" s="31"/>
      <c r="B8" s="32" t="s">
        <v>97</v>
      </c>
    </row>
    <row r="9">
      <c r="A9" s="31"/>
      <c r="B9" s="32" t="s">
        <v>98</v>
      </c>
    </row>
    <row r="10">
      <c r="A10" s="34" t="s">
        <v>99</v>
      </c>
      <c r="B10" s="30" t="s">
        <v>100</v>
      </c>
    </row>
    <row r="11">
      <c r="A11" s="31"/>
      <c r="B11" s="32" t="s">
        <v>101</v>
      </c>
    </row>
    <row r="12">
      <c r="A12" s="34" t="s">
        <v>102</v>
      </c>
      <c r="B12" s="30" t="s">
        <v>103</v>
      </c>
    </row>
    <row r="13">
      <c r="A13" s="31"/>
      <c r="B13" s="32" t="s">
        <v>104</v>
      </c>
    </row>
    <row r="14">
      <c r="A14" s="31"/>
      <c r="B14" s="32" t="s">
        <v>105</v>
      </c>
    </row>
    <row r="15">
      <c r="A15" s="31"/>
      <c r="B15" s="35" t="s">
        <v>106</v>
      </c>
    </row>
    <row r="16">
      <c r="A16" s="31"/>
      <c r="B16" s="32" t="s">
        <v>107</v>
      </c>
    </row>
    <row r="17">
      <c r="A17" s="31"/>
      <c r="B17" s="32" t="s">
        <v>108</v>
      </c>
    </row>
    <row r="18">
      <c r="A18" s="34" t="s">
        <v>109</v>
      </c>
      <c r="B18" s="30" t="s">
        <v>110</v>
      </c>
    </row>
    <row r="19">
      <c r="A19" s="31"/>
      <c r="B19" s="32" t="s">
        <v>111</v>
      </c>
    </row>
    <row r="20">
      <c r="A20" s="34" t="s">
        <v>112</v>
      </c>
      <c r="B20" s="30" t="s">
        <v>113</v>
      </c>
    </row>
    <row r="21">
      <c r="A21" s="36"/>
      <c r="B21" s="32" t="s">
        <v>114</v>
      </c>
    </row>
    <row r="22">
      <c r="A22" s="36"/>
      <c r="B22" s="32" t="s">
        <v>115</v>
      </c>
    </row>
    <row r="23">
      <c r="A23" s="36"/>
      <c r="B23" s="32"/>
    </row>
    <row r="24">
      <c r="A24" s="34" t="s">
        <v>116</v>
      </c>
      <c r="B24" s="30" t="s">
        <v>117</v>
      </c>
    </row>
    <row r="25">
      <c r="A25" s="36"/>
      <c r="B25" s="32" t="s">
        <v>118</v>
      </c>
    </row>
    <row r="26">
      <c r="A26" s="37" t="s">
        <v>119</v>
      </c>
      <c r="B26" s="30" t="s">
        <v>120</v>
      </c>
    </row>
    <row r="27">
      <c r="A27" s="36"/>
      <c r="B27" s="36"/>
    </row>
    <row r="28">
      <c r="A28" s="37" t="s">
        <v>121</v>
      </c>
      <c r="B28" s="30" t="s">
        <v>122</v>
      </c>
    </row>
    <row r="29">
      <c r="A29" s="36"/>
      <c r="B29" s="32" t="s">
        <v>123</v>
      </c>
    </row>
    <row r="30">
      <c r="A30" s="34" t="s">
        <v>124</v>
      </c>
      <c r="B30" s="37"/>
    </row>
    <row r="32">
      <c r="A32" s="38" t="s">
        <v>70</v>
      </c>
      <c r="B32" s="8" t="s">
        <v>76</v>
      </c>
    </row>
    <row r="33">
      <c r="A33" s="38" t="s">
        <v>125</v>
      </c>
      <c r="B33" s="8" t="s">
        <v>72</v>
      </c>
    </row>
    <row r="34">
      <c r="A34" s="38" t="s">
        <v>125</v>
      </c>
      <c r="B34" s="8" t="s">
        <v>73</v>
      </c>
    </row>
    <row r="35">
      <c r="A35" s="38" t="s">
        <v>126</v>
      </c>
      <c r="B35" s="8" t="s">
        <v>79</v>
      </c>
    </row>
    <row r="36">
      <c r="A36" s="38" t="s">
        <v>126</v>
      </c>
      <c r="B36" s="8" t="s">
        <v>84</v>
      </c>
    </row>
    <row r="37">
      <c r="A37" s="38" t="s">
        <v>126</v>
      </c>
      <c r="B37" s="8" t="s">
        <v>81</v>
      </c>
    </row>
    <row r="38">
      <c r="A38" s="38" t="s">
        <v>126</v>
      </c>
      <c r="B38" s="8" t="s">
        <v>77</v>
      </c>
    </row>
    <row r="39">
      <c r="A39" s="38" t="s">
        <v>126</v>
      </c>
      <c r="B39" s="8" t="s">
        <v>82</v>
      </c>
    </row>
    <row r="40">
      <c r="A40" s="38" t="s">
        <v>126</v>
      </c>
      <c r="B40" s="8" t="s">
        <v>78</v>
      </c>
    </row>
    <row r="41">
      <c r="A41" s="8" t="s">
        <v>126</v>
      </c>
      <c r="B41" s="8" t="s">
        <v>83</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127</v>
      </c>
      <c r="B1" s="39" t="s">
        <v>128</v>
      </c>
    </row>
    <row r="2">
      <c r="A2" s="40"/>
      <c r="B2" s="41"/>
    </row>
    <row r="3">
      <c r="A3" s="42" t="s">
        <v>129</v>
      </c>
      <c r="B3" s="42" t="s">
        <v>130</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131</v>
      </c>
      <c r="B1" s="43" t="s">
        <v>132</v>
      </c>
    </row>
    <row r="2">
      <c r="A2" s="2" t="s">
        <v>133</v>
      </c>
      <c r="B2" s="2" t="s">
        <v>134</v>
      </c>
    </row>
    <row r="3">
      <c r="A3" s="2" t="s">
        <v>135</v>
      </c>
      <c r="B3" s="2" t="s">
        <v>136</v>
      </c>
    </row>
    <row r="4">
      <c r="A4" s="2" t="s">
        <v>137</v>
      </c>
      <c r="B4" s="8" t="s">
        <v>138</v>
      </c>
    </row>
    <row r="5">
      <c r="A5" s="2" t="s">
        <v>139</v>
      </c>
      <c r="B5" s="2" t="s">
        <v>140</v>
      </c>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141</v>
      </c>
      <c r="B1" s="4" t="s">
        <v>142</v>
      </c>
    </row>
    <row r="2">
      <c r="A2" s="45">
        <v>1.0</v>
      </c>
      <c r="B2" s="2" t="s">
        <v>143</v>
      </c>
    </row>
    <row r="3">
      <c r="A3" s="45">
        <f t="shared" ref="A3:A16" si="1">A2+1</f>
        <v>2</v>
      </c>
      <c r="B3" s="2" t="s">
        <v>144</v>
      </c>
    </row>
    <row r="4">
      <c r="A4" s="45">
        <f t="shared" si="1"/>
        <v>3</v>
      </c>
      <c r="B4" s="2"/>
    </row>
    <row r="5">
      <c r="A5" s="45">
        <f t="shared" si="1"/>
        <v>4</v>
      </c>
    </row>
    <row r="6">
      <c r="A6" s="45">
        <f t="shared" si="1"/>
        <v>5</v>
      </c>
      <c r="B6" s="2"/>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141</v>
      </c>
      <c r="B1" s="4" t="s">
        <v>145</v>
      </c>
    </row>
    <row r="2">
      <c r="A2" s="45">
        <v>1.0</v>
      </c>
      <c r="B2" s="2" t="s">
        <v>75</v>
      </c>
    </row>
    <row r="3">
      <c r="A3" s="45">
        <f t="shared" ref="A3:A16" si="1">A2+1</f>
        <v>2</v>
      </c>
      <c r="B3" s="2"/>
    </row>
    <row r="4">
      <c r="A4" s="45">
        <f t="shared" si="1"/>
        <v>3</v>
      </c>
      <c r="B4" s="2"/>
    </row>
    <row r="5">
      <c r="A5" s="45">
        <f t="shared" si="1"/>
        <v>4</v>
      </c>
    </row>
    <row r="6">
      <c r="A6" s="45">
        <f t="shared" si="1"/>
        <v>5</v>
      </c>
      <c r="B6" s="2"/>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47" t="s">
        <v>146</v>
      </c>
    </row>
    <row r="19">
      <c r="A19" s="46"/>
      <c r="B19" s="3"/>
    </row>
    <row r="20">
      <c r="A20" s="46"/>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147</v>
      </c>
      <c r="B1" s="49" t="s">
        <v>148</v>
      </c>
      <c r="C1" s="50" t="s">
        <v>149</v>
      </c>
      <c r="D1" s="51" t="s">
        <v>150</v>
      </c>
      <c r="E1" s="51" t="s">
        <v>151</v>
      </c>
      <c r="F1" s="51" t="s">
        <v>152</v>
      </c>
      <c r="G1" s="51" t="s">
        <v>153</v>
      </c>
    </row>
    <row r="2">
      <c r="A2" s="52"/>
      <c r="B2" s="53"/>
      <c r="C2" s="54"/>
      <c r="D2" s="54"/>
      <c r="E2" s="54"/>
      <c r="F2" s="54"/>
      <c r="G2" s="54"/>
    </row>
    <row r="3">
      <c r="A3" s="55" t="s">
        <v>154</v>
      </c>
      <c r="B3" s="56"/>
      <c r="C3" s="57"/>
      <c r="D3" s="57"/>
      <c r="E3" s="57"/>
      <c r="F3" s="57"/>
      <c r="G3" s="57"/>
    </row>
    <row r="4">
      <c r="A4" s="52"/>
      <c r="B4" s="53"/>
      <c r="C4" s="54"/>
      <c r="D4" s="54"/>
      <c r="E4" s="54"/>
      <c r="F4" s="54"/>
      <c r="G4" s="54"/>
    </row>
    <row r="5">
      <c r="A5" s="58" t="s">
        <v>155</v>
      </c>
      <c r="B5" s="59"/>
      <c r="C5" s="36"/>
      <c r="D5" s="60">
        <f>sum(D8:D13)</f>
        <v>0</v>
      </c>
      <c r="E5" s="60">
        <f>D5</f>
        <v>0</v>
      </c>
      <c r="F5" s="36"/>
      <c r="G5" s="36"/>
    </row>
    <row r="6">
      <c r="A6" s="52"/>
      <c r="B6" s="53"/>
      <c r="C6" s="54"/>
      <c r="D6" s="54"/>
      <c r="E6" s="54"/>
      <c r="F6" s="54"/>
      <c r="G6" s="54"/>
    </row>
    <row r="7">
      <c r="A7" s="61" t="s">
        <v>156</v>
      </c>
      <c r="B7" s="62"/>
      <c r="C7" s="63"/>
      <c r="D7" s="63"/>
      <c r="E7" s="63"/>
      <c r="F7" s="63"/>
      <c r="G7" s="63"/>
    </row>
    <row r="8">
      <c r="A8" s="52"/>
      <c r="B8" s="53"/>
      <c r="C8" s="54"/>
      <c r="D8" s="54"/>
      <c r="E8" s="64" t="s">
        <v>157</v>
      </c>
      <c r="F8" s="54"/>
      <c r="G8" s="64" t="s">
        <v>158</v>
      </c>
    </row>
    <row r="9">
      <c r="A9" s="65">
        <v>1.0</v>
      </c>
      <c r="B9" s="58"/>
      <c r="C9" s="36"/>
      <c r="D9" s="60">
        <f>sum(D16:D21)</f>
        <v>0</v>
      </c>
      <c r="E9" s="60">
        <f>$D$5</f>
        <v>0</v>
      </c>
      <c r="F9" s="60">
        <f>sum(F16:F21)</f>
        <v>0</v>
      </c>
      <c r="G9" s="60">
        <f>$D$5</f>
        <v>0</v>
      </c>
    </row>
    <row r="10">
      <c r="A10" s="52">
        <f t="shared" ref="A10:A11" si="1">A9+1</f>
        <v>2</v>
      </c>
      <c r="B10" s="53"/>
      <c r="C10" s="54"/>
      <c r="D10" s="66">
        <f>sum(D22:D27)</f>
        <v>0</v>
      </c>
      <c r="E10" s="66">
        <f t="shared" ref="E10:E12" si="2">E9-D9</f>
        <v>0</v>
      </c>
      <c r="F10" s="66">
        <f>sum(F22:F27)</f>
        <v>0</v>
      </c>
      <c r="G10" s="66">
        <f t="shared" ref="G10:G12" si="3">G9-F9</f>
        <v>0</v>
      </c>
    </row>
    <row r="11">
      <c r="A11" s="65">
        <f t="shared" si="1"/>
        <v>3</v>
      </c>
      <c r="B11" s="58"/>
      <c r="C11" s="36"/>
      <c r="D11" s="60">
        <f>sum(D28:D33)</f>
        <v>0</v>
      </c>
      <c r="E11" s="60">
        <f t="shared" si="2"/>
        <v>0</v>
      </c>
      <c r="F11" s="60">
        <f>sum(F28:F33)</f>
        <v>0</v>
      </c>
      <c r="G11" s="60">
        <f t="shared" si="3"/>
        <v>0</v>
      </c>
    </row>
    <row r="12">
      <c r="A12" s="67" t="s">
        <v>5</v>
      </c>
      <c r="B12" s="68"/>
      <c r="C12" s="54"/>
      <c r="D12" s="54"/>
      <c r="E12" s="66">
        <f t="shared" si="2"/>
        <v>0</v>
      </c>
      <c r="F12" s="54"/>
      <c r="G12" s="66">
        <f t="shared" si="3"/>
        <v>0</v>
      </c>
    </row>
    <row r="13">
      <c r="A13" s="65"/>
      <c r="B13" s="58"/>
      <c r="C13" s="36"/>
      <c r="D13" s="36"/>
      <c r="E13" s="36"/>
      <c r="F13" s="36"/>
      <c r="G13" s="36"/>
    </row>
    <row r="14">
      <c r="A14" s="69" t="s">
        <v>159</v>
      </c>
      <c r="B14" s="70"/>
      <c r="C14" s="71"/>
      <c r="D14" s="71"/>
      <c r="E14" s="71"/>
      <c r="F14" s="71"/>
      <c r="G14" s="71"/>
    </row>
    <row r="15">
      <c r="A15" s="65"/>
      <c r="B15" s="58"/>
      <c r="C15" s="36"/>
      <c r="D15" s="36"/>
      <c r="E15" s="36"/>
      <c r="F15" s="36"/>
      <c r="G15" s="36"/>
    </row>
    <row r="16">
      <c r="A16" s="72">
        <f t="shared" ref="A16:B16" si="4">A9</f>
        <v>1</v>
      </c>
      <c r="B16" s="73" t="str">
        <f t="shared" si="4"/>
        <v/>
      </c>
      <c r="C16" s="54"/>
      <c r="D16" s="54"/>
      <c r="E16" s="54"/>
      <c r="F16" s="54"/>
      <c r="G16" s="54"/>
    </row>
    <row r="17">
      <c r="A17" s="65"/>
      <c r="B17" s="74"/>
      <c r="C17" s="36"/>
      <c r="D17" s="36"/>
      <c r="E17" s="36"/>
      <c r="F17" s="36"/>
      <c r="G17" s="36"/>
    </row>
    <row r="18">
      <c r="A18" s="52"/>
      <c r="B18" s="53"/>
      <c r="C18" s="68"/>
      <c r="D18" s="75"/>
      <c r="E18" s="53"/>
      <c r="F18" s="75"/>
      <c r="G18" s="53"/>
    </row>
    <row r="19">
      <c r="A19" s="65"/>
      <c r="B19" s="74"/>
      <c r="C19" s="36"/>
      <c r="D19" s="60"/>
      <c r="E19" s="36"/>
      <c r="F19" s="60"/>
      <c r="G19" s="36"/>
    </row>
    <row r="20">
      <c r="A20" s="76"/>
      <c r="B20" s="68"/>
      <c r="C20" s="68"/>
      <c r="D20" s="66"/>
      <c r="E20" s="68"/>
      <c r="F20" s="66"/>
      <c r="G20" s="68"/>
    </row>
    <row r="21">
      <c r="A21" s="65"/>
      <c r="B21" s="74"/>
      <c r="C21" s="36"/>
      <c r="D21" s="60"/>
      <c r="E21" s="36"/>
      <c r="F21" s="60"/>
      <c r="G21" s="36"/>
    </row>
    <row r="22">
      <c r="A22" s="72">
        <f t="shared" ref="A22:B22" si="5">A10</f>
        <v>2</v>
      </c>
      <c r="B22" s="73" t="str">
        <f t="shared" si="5"/>
        <v/>
      </c>
      <c r="C22" s="54"/>
      <c r="D22" s="54"/>
      <c r="E22" s="54"/>
      <c r="F22" s="54"/>
      <c r="G22" s="54"/>
    </row>
    <row r="23">
      <c r="A23" s="65"/>
      <c r="B23" s="74"/>
      <c r="C23" s="36"/>
      <c r="D23" s="36"/>
      <c r="E23" s="36"/>
      <c r="F23" s="36"/>
      <c r="G23" s="36"/>
    </row>
    <row r="24">
      <c r="A24" s="76"/>
      <c r="B24" s="68"/>
      <c r="C24" s="68"/>
      <c r="D24" s="66"/>
      <c r="E24" s="68"/>
      <c r="F24" s="66"/>
      <c r="G24" s="68"/>
    </row>
    <row r="25">
      <c r="A25" s="65"/>
      <c r="B25" s="74"/>
      <c r="C25" s="36"/>
      <c r="D25" s="60"/>
      <c r="E25" s="36"/>
      <c r="F25" s="60"/>
      <c r="G25" s="36"/>
    </row>
    <row r="26">
      <c r="A26" s="76"/>
      <c r="B26" s="68"/>
      <c r="C26" s="68"/>
      <c r="D26" s="66"/>
      <c r="E26" s="68"/>
      <c r="F26" s="66"/>
      <c r="G26" s="68"/>
    </row>
    <row r="27">
      <c r="A27" s="65"/>
      <c r="B27" s="74"/>
      <c r="C27" s="36"/>
      <c r="D27" s="60"/>
      <c r="E27" s="36"/>
      <c r="F27" s="60"/>
      <c r="G27" s="36"/>
    </row>
    <row r="28">
      <c r="A28" s="72">
        <f t="shared" ref="A28:B28" si="6">A11</f>
        <v>3</v>
      </c>
      <c r="B28" s="73" t="str">
        <f t="shared" si="6"/>
        <v/>
      </c>
      <c r="C28" s="54"/>
      <c r="D28" s="54"/>
      <c r="E28" s="54"/>
      <c r="F28" s="54"/>
      <c r="G28" s="54"/>
    </row>
    <row r="29">
      <c r="A29" s="65"/>
      <c r="B29" s="74"/>
      <c r="C29" s="36"/>
      <c r="D29" s="36"/>
      <c r="E29" s="36"/>
      <c r="F29" s="36"/>
      <c r="G29" s="36"/>
    </row>
    <row r="30">
      <c r="A30" s="76"/>
      <c r="B30" s="68"/>
      <c r="C30" s="68"/>
      <c r="D30" s="66"/>
      <c r="E30" s="68"/>
      <c r="F30" s="68"/>
      <c r="G30" s="68"/>
    </row>
    <row r="31">
      <c r="A31" s="65"/>
      <c r="B31" s="74"/>
      <c r="C31" s="36"/>
      <c r="D31" s="60"/>
      <c r="E31" s="36"/>
      <c r="F31" s="36"/>
      <c r="G31" s="36"/>
    </row>
    <row r="32">
      <c r="A32" s="76"/>
      <c r="B32" s="68"/>
      <c r="C32" s="54"/>
      <c r="D32" s="66"/>
      <c r="E32" s="68"/>
      <c r="F32" s="68"/>
      <c r="G32" s="68"/>
    </row>
    <row r="33">
      <c r="A33" s="65"/>
      <c r="B33" s="74"/>
      <c r="C33" s="77" t="s">
        <v>160</v>
      </c>
      <c r="D33" s="60"/>
      <c r="E33" s="36"/>
      <c r="F33" s="36"/>
      <c r="G33" s="36"/>
    </row>
    <row r="34">
      <c r="A34" s="76"/>
      <c r="B34" s="68"/>
      <c r="C34" s="54"/>
      <c r="D34" s="54"/>
      <c r="E34" s="54"/>
      <c r="F34" s="54"/>
      <c r="G34" s="5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147</v>
      </c>
      <c r="B1" s="78" t="s">
        <v>148</v>
      </c>
      <c r="C1" s="50" t="s">
        <v>149</v>
      </c>
      <c r="D1" s="51" t="s">
        <v>150</v>
      </c>
      <c r="E1" s="51" t="s">
        <v>151</v>
      </c>
      <c r="F1" s="51" t="s">
        <v>152</v>
      </c>
      <c r="G1" s="51" t="s">
        <v>153</v>
      </c>
    </row>
    <row r="2">
      <c r="A2" s="52"/>
      <c r="B2" s="54"/>
      <c r="C2" s="54"/>
      <c r="D2" s="54"/>
      <c r="E2" s="54"/>
      <c r="F2" s="54"/>
      <c r="G2" s="54"/>
    </row>
    <row r="3">
      <c r="A3" s="55" t="s">
        <v>154</v>
      </c>
      <c r="B3" s="57"/>
      <c r="C3" s="57"/>
      <c r="D3" s="57"/>
      <c r="E3" s="57"/>
      <c r="F3" s="57"/>
      <c r="G3" s="57"/>
    </row>
    <row r="4">
      <c r="A4" s="52"/>
      <c r="B4" s="54"/>
      <c r="C4" s="54"/>
      <c r="D4" s="54"/>
      <c r="E4" s="54"/>
      <c r="F4" s="54"/>
      <c r="G4" s="54"/>
    </row>
    <row r="5">
      <c r="A5" s="58" t="s">
        <v>155</v>
      </c>
      <c r="B5" s="36"/>
      <c r="C5" s="36"/>
      <c r="D5" s="60">
        <f>sum(D8:D13)</f>
        <v>0</v>
      </c>
      <c r="E5" s="60">
        <f>D5</f>
        <v>0</v>
      </c>
      <c r="F5" s="36"/>
      <c r="G5" s="36"/>
    </row>
    <row r="6">
      <c r="A6" s="52"/>
      <c r="B6" s="54"/>
      <c r="C6" s="54"/>
      <c r="D6" s="54"/>
      <c r="E6" s="54"/>
      <c r="F6" s="54"/>
      <c r="G6" s="54"/>
    </row>
    <row r="7">
      <c r="A7" s="61" t="s">
        <v>156</v>
      </c>
      <c r="B7" s="79"/>
      <c r="C7" s="63"/>
      <c r="D7" s="63"/>
      <c r="E7" s="63"/>
      <c r="F7" s="63"/>
      <c r="G7" s="63"/>
    </row>
    <row r="8">
      <c r="A8" s="52"/>
      <c r="B8" s="54"/>
      <c r="C8" s="54"/>
      <c r="D8" s="54"/>
      <c r="E8" s="64" t="s">
        <v>157</v>
      </c>
      <c r="F8" s="54"/>
      <c r="G8" s="64" t="s">
        <v>158</v>
      </c>
    </row>
    <row r="9">
      <c r="A9" s="65">
        <v>1.0</v>
      </c>
      <c r="B9" s="36"/>
      <c r="C9" s="36"/>
      <c r="D9" s="60">
        <f>sum(D16:D21)</f>
        <v>0</v>
      </c>
      <c r="E9" s="60">
        <f>$D$5</f>
        <v>0</v>
      </c>
      <c r="F9" s="60">
        <f>sum(F16:F21)</f>
        <v>0</v>
      </c>
      <c r="G9" s="60">
        <f>$D$5</f>
        <v>0</v>
      </c>
    </row>
    <row r="10">
      <c r="A10" s="52">
        <f t="shared" ref="A10:A11" si="1">A9+1</f>
        <v>2</v>
      </c>
      <c r="B10" s="54"/>
      <c r="C10" s="54"/>
      <c r="D10" s="66">
        <f>sum(D22:D27)</f>
        <v>0</v>
      </c>
      <c r="E10" s="66">
        <f t="shared" ref="E10:E12" si="2">E9-D9</f>
        <v>0</v>
      </c>
      <c r="F10" s="66">
        <f>sum(F22:F27)</f>
        <v>0</v>
      </c>
      <c r="G10" s="66">
        <f t="shared" ref="G10:G12" si="3">G9-F9</f>
        <v>0</v>
      </c>
    </row>
    <row r="11">
      <c r="A11" s="65">
        <f t="shared" si="1"/>
        <v>3</v>
      </c>
      <c r="B11" s="36"/>
      <c r="C11" s="36"/>
      <c r="D11" s="60">
        <f>sum(D28:D33)</f>
        <v>0</v>
      </c>
      <c r="E11" s="60">
        <f t="shared" si="2"/>
        <v>0</v>
      </c>
      <c r="F11" s="60">
        <f>sum(F28:F33)</f>
        <v>0</v>
      </c>
      <c r="G11" s="60">
        <f t="shared" si="3"/>
        <v>0</v>
      </c>
    </row>
    <row r="12">
      <c r="A12" s="67" t="s">
        <v>5</v>
      </c>
      <c r="B12" s="54"/>
      <c r="C12" s="54"/>
      <c r="D12" s="54"/>
      <c r="E12" s="66">
        <f t="shared" si="2"/>
        <v>0</v>
      </c>
      <c r="F12" s="54"/>
      <c r="G12" s="66">
        <f t="shared" si="3"/>
        <v>0</v>
      </c>
    </row>
    <row r="13">
      <c r="A13" s="65"/>
      <c r="B13" s="36"/>
      <c r="C13" s="36"/>
      <c r="D13" s="36"/>
      <c r="E13" s="36"/>
      <c r="F13" s="36"/>
      <c r="G13" s="36"/>
    </row>
    <row r="14">
      <c r="A14" s="69" t="s">
        <v>159</v>
      </c>
      <c r="B14" s="70"/>
      <c r="C14" s="71"/>
      <c r="D14" s="71"/>
      <c r="E14" s="71"/>
      <c r="F14" s="71"/>
      <c r="G14" s="71"/>
    </row>
    <row r="15">
      <c r="A15" s="65"/>
      <c r="B15" s="36"/>
      <c r="C15" s="36"/>
      <c r="D15" s="36"/>
      <c r="E15" s="36"/>
      <c r="F15" s="36"/>
      <c r="G15" s="36"/>
    </row>
    <row r="16">
      <c r="A16" s="72">
        <f>A9</f>
        <v>1</v>
      </c>
      <c r="B16" s="54"/>
      <c r="C16" s="54"/>
      <c r="D16" s="54"/>
      <c r="E16" s="54"/>
      <c r="F16" s="54"/>
      <c r="G16" s="54"/>
    </row>
    <row r="17">
      <c r="A17" s="65"/>
      <c r="B17" s="74"/>
      <c r="C17" s="36"/>
      <c r="D17" s="36"/>
      <c r="E17" s="36"/>
      <c r="F17" s="36"/>
      <c r="G17" s="36"/>
    </row>
    <row r="18">
      <c r="A18" s="52"/>
      <c r="B18" s="80"/>
      <c r="C18" s="68"/>
      <c r="D18" s="75"/>
      <c r="E18" s="53"/>
      <c r="F18" s="75"/>
      <c r="G18" s="53"/>
    </row>
    <row r="19">
      <c r="A19" s="65"/>
      <c r="B19" s="36"/>
      <c r="C19" s="36"/>
      <c r="D19" s="60"/>
      <c r="E19" s="36"/>
      <c r="F19" s="60"/>
      <c r="G19" s="36"/>
    </row>
    <row r="20">
      <c r="A20" s="76"/>
      <c r="B20" s="54"/>
      <c r="C20" s="68"/>
      <c r="D20" s="66"/>
      <c r="E20" s="68"/>
      <c r="F20" s="66"/>
      <c r="G20" s="68"/>
    </row>
    <row r="21">
      <c r="A21" s="65"/>
      <c r="B21" s="36"/>
      <c r="C21" s="36"/>
      <c r="D21" s="60"/>
      <c r="E21" s="36"/>
      <c r="F21" s="60"/>
      <c r="G21" s="36"/>
    </row>
    <row r="22">
      <c r="A22" s="72">
        <f>A10</f>
        <v>2</v>
      </c>
      <c r="B22" s="54"/>
      <c r="C22" s="54"/>
      <c r="D22" s="54"/>
      <c r="E22" s="54"/>
      <c r="F22" s="54"/>
      <c r="G22" s="54"/>
    </row>
    <row r="23">
      <c r="A23" s="65"/>
      <c r="B23" s="74"/>
      <c r="C23" s="36"/>
      <c r="D23" s="36"/>
      <c r="E23" s="36"/>
      <c r="F23" s="36"/>
      <c r="G23" s="36"/>
    </row>
    <row r="24">
      <c r="A24" s="76"/>
      <c r="B24" s="54"/>
      <c r="C24" s="68"/>
      <c r="D24" s="66"/>
      <c r="E24" s="68"/>
      <c r="F24" s="66"/>
      <c r="G24" s="68"/>
    </row>
    <row r="25">
      <c r="A25" s="65"/>
      <c r="B25" s="36"/>
      <c r="C25" s="36"/>
      <c r="D25" s="60"/>
      <c r="E25" s="36"/>
      <c r="F25" s="60"/>
      <c r="G25" s="36"/>
    </row>
    <row r="26">
      <c r="A26" s="76"/>
      <c r="B26" s="54"/>
      <c r="C26" s="68"/>
      <c r="D26" s="66"/>
      <c r="E26" s="68"/>
      <c r="F26" s="66"/>
      <c r="G26" s="68"/>
    </row>
    <row r="27">
      <c r="A27" s="65"/>
      <c r="B27" s="36"/>
      <c r="C27" s="36"/>
      <c r="D27" s="60"/>
      <c r="E27" s="36"/>
      <c r="F27" s="60"/>
      <c r="G27" s="36"/>
    </row>
    <row r="28">
      <c r="A28" s="72">
        <f>A11</f>
        <v>3</v>
      </c>
      <c r="B28" s="54"/>
      <c r="C28" s="54"/>
      <c r="D28" s="54"/>
      <c r="E28" s="54"/>
      <c r="F28" s="54"/>
      <c r="G28" s="54"/>
    </row>
    <row r="29">
      <c r="A29" s="65"/>
      <c r="B29" s="74"/>
      <c r="C29" s="36"/>
      <c r="D29" s="36"/>
      <c r="E29" s="36"/>
      <c r="F29" s="36"/>
      <c r="G29" s="36"/>
    </row>
    <row r="30">
      <c r="A30" s="76"/>
      <c r="B30" s="54"/>
      <c r="C30" s="68"/>
      <c r="D30" s="66"/>
      <c r="E30" s="68"/>
      <c r="F30" s="68"/>
      <c r="G30" s="68"/>
    </row>
    <row r="31">
      <c r="A31" s="65"/>
      <c r="B31" s="36"/>
      <c r="C31" s="36"/>
      <c r="D31" s="60"/>
      <c r="E31" s="36"/>
      <c r="F31" s="36"/>
      <c r="G31" s="36"/>
    </row>
    <row r="32">
      <c r="A32" s="76"/>
      <c r="B32" s="54"/>
      <c r="C32" s="54"/>
      <c r="D32" s="66"/>
      <c r="E32" s="68"/>
      <c r="F32" s="68"/>
      <c r="G32" s="68"/>
    </row>
    <row r="33">
      <c r="A33" s="65"/>
      <c r="B33" s="36"/>
      <c r="C33" s="77" t="s">
        <v>160</v>
      </c>
      <c r="D33" s="60"/>
      <c r="E33" s="36"/>
      <c r="F33" s="36"/>
      <c r="G33" s="36"/>
    </row>
    <row r="34">
      <c r="A34" s="76"/>
      <c r="B34" s="54"/>
      <c r="C34" s="54"/>
      <c r="D34" s="54"/>
      <c r="E34" s="54"/>
      <c r="F34" s="54"/>
      <c r="G34" s="5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1" t="s">
        <v>64</v>
      </c>
      <c r="B1" s="49" t="s">
        <v>161</v>
      </c>
      <c r="C1" s="49" t="s">
        <v>162</v>
      </c>
      <c r="D1" s="82" t="s">
        <v>163</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164</v>
      </c>
      <c r="B1" s="4" t="s">
        <v>165</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64</v>
      </c>
      <c r="B1" s="4" t="s">
        <v>166</v>
      </c>
      <c r="C1" s="4" t="s">
        <v>167</v>
      </c>
      <c r="D1" s="4" t="s">
        <v>168</v>
      </c>
      <c r="E1" s="4" t="s">
        <v>169</v>
      </c>
      <c r="F1" s="4" t="s">
        <v>71</v>
      </c>
    </row>
    <row r="2">
      <c r="A2" s="3"/>
      <c r="B2" s="3"/>
      <c r="C2" s="3"/>
      <c r="D2" s="3"/>
      <c r="E2" s="3"/>
      <c r="F2" s="3"/>
    </row>
    <row r="3">
      <c r="A3" s="3"/>
      <c r="B3" s="3"/>
      <c r="C3" s="3"/>
      <c r="D3" s="3"/>
      <c r="E3" s="3"/>
      <c r="F3" s="3"/>
    </row>
    <row r="4">
      <c r="A4" s="3"/>
      <c r="B4" s="3"/>
      <c r="C4" s="3"/>
      <c r="D4" s="3"/>
      <c r="E4" s="3"/>
      <c r="F4" s="3"/>
    </row>
    <row r="5">
      <c r="A5" s="3"/>
      <c r="B5" s="3"/>
      <c r="C5" s="3"/>
      <c r="D5" s="3"/>
      <c r="E5" s="3"/>
      <c r="F5" s="3"/>
    </row>
    <row r="6">
      <c r="A6" s="3"/>
      <c r="B6" s="3"/>
      <c r="C6" s="3"/>
      <c r="D6" s="3"/>
      <c r="E6" s="3"/>
      <c r="F6" s="3"/>
    </row>
    <row r="7">
      <c r="A7" s="3"/>
      <c r="B7" s="3"/>
      <c r="C7" s="3"/>
      <c r="D7" s="3"/>
      <c r="E7" s="3"/>
      <c r="F7" s="3"/>
    </row>
    <row r="8">
      <c r="A8" s="3"/>
      <c r="B8" s="3"/>
      <c r="C8" s="3"/>
      <c r="D8" s="3"/>
      <c r="E8" s="3"/>
      <c r="F8" s="3"/>
    </row>
    <row r="9">
      <c r="A9" s="3"/>
      <c r="B9" s="3"/>
      <c r="C9" s="3"/>
      <c r="D9" s="3"/>
      <c r="E9" s="3"/>
      <c r="F9" s="3"/>
    </row>
    <row r="10">
      <c r="A10" s="3"/>
      <c r="B10" s="3"/>
      <c r="C10" s="3"/>
      <c r="D10" s="3"/>
      <c r="E10" s="3"/>
      <c r="F10" s="3"/>
    </row>
    <row r="11">
      <c r="A11" s="3"/>
      <c r="B11" s="3"/>
      <c r="C11" s="3"/>
      <c r="D11" s="3"/>
      <c r="E11" s="3"/>
      <c r="F11" s="3"/>
    </row>
    <row r="12">
      <c r="A12" s="3"/>
      <c r="B12" s="3"/>
      <c r="C12" s="3"/>
      <c r="D12" s="3"/>
      <c r="E12" s="3"/>
      <c r="F12" s="3"/>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3" t="str">
        <f>'Project Team'!A1</f>
        <v>Last Name</v>
      </c>
      <c r="B1" s="83" t="str">
        <f>'Project Team'!B1</f>
        <v>First Name</v>
      </c>
      <c r="C1" s="84" t="s">
        <v>170</v>
      </c>
      <c r="D1" s="85"/>
      <c r="E1" s="86"/>
      <c r="F1" s="87"/>
      <c r="G1" s="88"/>
      <c r="H1" s="88"/>
    </row>
    <row r="2">
      <c r="A2" s="89" t="str">
        <f>'Project Team'!A2</f>
        <v>Kahvecioglu</v>
      </c>
      <c r="B2" s="89" t="str">
        <f>'Project Team'!B2</f>
        <v>Selin</v>
      </c>
      <c r="C2" s="90">
        <v>0.0</v>
      </c>
      <c r="D2" s="91"/>
      <c r="E2" s="92">
        <f>average(C2:C10)</f>
        <v>0</v>
      </c>
      <c r="F2" s="93" t="str">
        <f>if(stdev(C2:C7) &gt; 0,"NOK", "OK")</f>
        <v>OK</v>
      </c>
      <c r="G2" s="94"/>
      <c r="H2" s="94"/>
    </row>
    <row r="3">
      <c r="A3" s="95" t="str">
        <f>'Project Team'!A3</f>
        <v>de Sa Filho</v>
      </c>
      <c r="B3" s="95" t="str">
        <f>'Project Team'!B3</f>
        <v>Fabiano</v>
      </c>
      <c r="C3" s="90">
        <v>0.0</v>
      </c>
      <c r="D3" s="96"/>
      <c r="G3" s="97"/>
      <c r="H3" s="97"/>
    </row>
    <row r="4">
      <c r="A4" s="89" t="str">
        <f>'Project Team'!A4</f>
        <v>Ammann</v>
      </c>
      <c r="B4" s="89" t="str">
        <f>'Project Team'!B4</f>
        <v>Paul</v>
      </c>
      <c r="C4" s="98"/>
      <c r="D4" s="91"/>
      <c r="G4" s="94"/>
      <c r="H4" s="94"/>
    </row>
    <row r="5">
      <c r="A5" s="95" t="str">
        <f>'Project Team'!A5</f>
        <v>Schmidt</v>
      </c>
      <c r="B5" s="95" t="str">
        <f>'Project Team'!B5</f>
        <v>Alexander</v>
      </c>
      <c r="C5" s="99"/>
      <c r="D5" s="100"/>
      <c r="E5" s="100"/>
      <c r="F5" s="100"/>
      <c r="G5" s="97"/>
      <c r="H5" s="97"/>
    </row>
    <row r="6">
      <c r="A6" s="89" t="str">
        <f>'Project Team'!A6</f>
        <v>Wendlandt</v>
      </c>
      <c r="B6" s="89" t="str">
        <f>'Project Team'!B6</f>
        <v>Julian</v>
      </c>
      <c r="C6" s="98"/>
      <c r="D6" s="101"/>
      <c r="E6" s="102">
        <v>0.0</v>
      </c>
      <c r="F6" s="103" t="s">
        <v>171</v>
      </c>
      <c r="G6" s="94"/>
      <c r="H6" s="94"/>
    </row>
    <row r="7">
      <c r="A7" s="95" t="str">
        <f>'Project Team'!A7</f>
        <v>Müermann</v>
      </c>
      <c r="B7" s="95" t="str">
        <f>'Project Team'!B7</f>
        <v>Ole</v>
      </c>
      <c r="C7" s="98"/>
      <c r="D7" s="100"/>
      <c r="E7" s="102">
        <v>1.0</v>
      </c>
      <c r="F7" s="103" t="s">
        <v>172</v>
      </c>
      <c r="G7" s="97"/>
      <c r="H7" s="97"/>
    </row>
    <row r="8">
      <c r="A8" s="89" t="str">
        <f>'Project Team'!A8</f>
        <v>Klarer</v>
      </c>
      <c r="B8" s="89" t="str">
        <f>'Project Team'!B8</f>
        <v>Paul</v>
      </c>
      <c r="C8" s="99"/>
      <c r="D8" s="101"/>
      <c r="E8" s="102">
        <v>2.0</v>
      </c>
      <c r="F8" s="103" t="s">
        <v>173</v>
      </c>
      <c r="G8" s="94"/>
      <c r="H8" s="94"/>
    </row>
    <row r="9">
      <c r="A9" s="95" t="str">
        <f>'Project Team'!A9</f>
        <v>Mantsch</v>
      </c>
      <c r="B9" s="95" t="str">
        <f>'Project Team'!B9</f>
        <v>Christoph</v>
      </c>
      <c r="C9" s="99"/>
      <c r="D9" s="100"/>
      <c r="E9" s="102">
        <v>3.0</v>
      </c>
      <c r="F9" s="103" t="s">
        <v>174</v>
      </c>
      <c r="G9" s="97"/>
      <c r="H9" s="97"/>
    </row>
    <row r="10">
      <c r="A10" s="89" t="str">
        <f>'Project Team'!A10</f>
        <v>Annus</v>
      </c>
      <c r="B10" s="89" t="str">
        <f>'Project Team'!B10</f>
        <v>Mohammad</v>
      </c>
      <c r="C10" s="99"/>
      <c r="D10" s="101"/>
      <c r="E10" s="102">
        <v>5.0</v>
      </c>
      <c r="F10" s="103" t="s">
        <v>175</v>
      </c>
      <c r="G10" s="94"/>
      <c r="H10" s="94"/>
    </row>
    <row r="11">
      <c r="A11" s="95"/>
      <c r="B11" s="95"/>
      <c r="C11" s="98"/>
      <c r="D11" s="100"/>
      <c r="E11" s="102">
        <v>8.0</v>
      </c>
      <c r="F11" s="103" t="s">
        <v>176</v>
      </c>
      <c r="G11" s="97"/>
      <c r="H11" s="97"/>
    </row>
    <row r="12">
      <c r="A12" s="89"/>
      <c r="B12" s="89"/>
      <c r="C12" s="98"/>
      <c r="D12" s="101"/>
      <c r="E12" s="102">
        <v>13.0</v>
      </c>
      <c r="F12" s="103" t="s">
        <v>177</v>
      </c>
      <c r="G12" s="94"/>
      <c r="H12" s="94"/>
    </row>
    <row r="13">
      <c r="A13" s="95"/>
      <c r="B13" s="95"/>
      <c r="C13" s="100"/>
      <c r="D13" s="100"/>
      <c r="E13" s="100"/>
      <c r="F13" s="100"/>
      <c r="G13" s="97"/>
      <c r="H13" s="97"/>
    </row>
    <row r="14">
      <c r="A14" s="104" t="s">
        <v>178</v>
      </c>
      <c r="B14" s="105"/>
      <c r="C14" s="105"/>
      <c r="D14" s="105"/>
      <c r="E14" s="105"/>
      <c r="F14" s="105"/>
      <c r="G14" s="105"/>
      <c r="H14" s="105"/>
    </row>
    <row r="15">
      <c r="A15" s="106"/>
      <c r="B15" s="106"/>
      <c r="C15" s="106"/>
      <c r="D15" s="106"/>
      <c r="E15" s="106"/>
      <c r="F15" s="106"/>
      <c r="G15" s="106"/>
      <c r="H15" s="106"/>
    </row>
    <row r="16">
      <c r="A16" s="107" t="s">
        <v>179</v>
      </c>
      <c r="B16" s="108"/>
      <c r="C16" s="108"/>
      <c r="D16" s="108"/>
      <c r="E16" s="108"/>
      <c r="F16" s="108"/>
      <c r="G16" s="108"/>
      <c r="H16" s="108"/>
    </row>
    <row r="17">
      <c r="A17" s="109" t="s">
        <v>180</v>
      </c>
      <c r="B17" s="106"/>
      <c r="C17" s="106"/>
      <c r="D17" s="106"/>
      <c r="E17" s="106"/>
      <c r="F17" s="106"/>
      <c r="G17" s="106"/>
      <c r="H17" s="106"/>
    </row>
    <row r="18">
      <c r="A18" s="107" t="s">
        <v>181</v>
      </c>
      <c r="B18" s="108"/>
      <c r="C18" s="108"/>
      <c r="D18" s="108"/>
      <c r="E18" s="108"/>
      <c r="F18" s="108"/>
      <c r="G18" s="108"/>
      <c r="H18" s="108"/>
    </row>
    <row r="19">
      <c r="A19" s="106"/>
      <c r="B19" s="106"/>
      <c r="C19" s="106"/>
      <c r="D19" s="106"/>
      <c r="E19" s="106"/>
      <c r="F19" s="106"/>
      <c r="G19" s="106"/>
      <c r="H19" s="106"/>
    </row>
    <row r="20">
      <c r="A20" s="108"/>
      <c r="B20" s="108"/>
      <c r="C20" s="108"/>
      <c r="D20" s="108"/>
      <c r="E20" s="108"/>
      <c r="F20" s="108"/>
      <c r="G20" s="108"/>
      <c r="H20" s="10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