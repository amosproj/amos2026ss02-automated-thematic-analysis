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Velocity Chart" sheetId="10" r:id="rId13"/>
    <sheet state="visible" name="Burndown Chart" sheetId="11" r:id="rId14"/>
    <sheet state="visible" name="Final Project Release plan" sheetId="12" r:id="rId15"/>
    <sheet state="visible" name="Final Velocity Chart" sheetId="13" r:id="rId16"/>
    <sheet state="visible" name="Final Burndown Chart" sheetId="14" r:id="rId17"/>
    <sheet state="visible" name="Definition of Done" sheetId="15" r:id="rId18"/>
    <sheet state="visible" name="Documentation" sheetId="16" r:id="rId19"/>
    <sheet state="visible" name="Bill of Materials" sheetId="17" r:id="rId20"/>
    <sheet state="visible" name="Planning Poker" sheetId="18" r:id="rId21"/>
  </sheets>
  <definedNames/>
  <calcPr/>
</workbook>
</file>

<file path=xl/sharedStrings.xml><?xml version="1.0" encoding="utf-8"?>
<sst xmlns="http://schemas.openxmlformats.org/spreadsheetml/2006/main" count="518" uniqueCount="368">
  <si>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</si>
  <si>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</si>
  <si>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</si>
  <si>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</si>
  <si>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</si>
  <si>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</si>
  <si>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</si>
  <si>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</si>
  <si>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</si>
  <si>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</si>
  <si>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</si>
  <si>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</si>
  <si>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</si>
  <si>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</si>
  <si>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</si>
  <si>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</si>
  <si>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</si>
  <si>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</si>
  <si>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</si>
  <si>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</si>
  <si>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</si>
  <si>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</si>
  <si>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</si>
  <si>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</si>
  <si>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</si>
  <si>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</si>
  <si>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</si>
  <si>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</si>
  <si>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</si>
  <si>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</si>
  <si>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</si>
  <si>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</si>
  <si>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</si>
  <si>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</si>
  <si>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</si>
  <si>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</si>
  <si>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</si>
  <si>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</si>
  <si>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</si>
  <si>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</si>
  <si>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</si>
  <si>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</si>
  <si>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</si>
  <si>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</si>
  <si>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</si>
  <si>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</si>
  <si>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</si>
  <si>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</si>
  <si>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</si>
  <si>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</si>
  <si>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</si>
  <si>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</si>
  <si>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</si>
  <si>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</si>
  <si>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</si>
  <si>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</si>
  <si>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</si>
  <si>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</si>
  <si>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</si>
  <si>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</si>
  <si>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</si>
  <si>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</si>
  <si>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</si>
  <si>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</si>
  <si>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</si>
  <si>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</si>
  <si>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</si>
  <si>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</si>
  <si>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</si>
  <si>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</si>
  <si>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</si>
  <si>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</si>
  <si>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</si>
  <si>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</si>
  <si>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</si>
  <si>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</si>
  <si>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</si>
  <si>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</si>
  <si>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</si>
  <si>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</si>
  <si>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</si>
  <si>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</si>
  <si>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</si>
  <si>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</si>
  <si>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</si>
  <si>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</si>
  <si>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</si>
  <si>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</si>
  <si>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</si>
  <si>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</si>
  <si>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</si>
  <si>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</si>
  <si>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</si>
  <si>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</si>
  <si>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</si>
  <si>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</si>
  <si>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</si>
  <si>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</si>
  <si>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</si>
  <si>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</si>
  <si>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</si>
  <si>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</si>
  <si>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</si>
  <si>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</si>
  <si>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</si>
  <si>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</si>
  <si>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</si>
  <si>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</si>
  <si>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</si>
  <si>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</si>
  <si>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</si>
  <si>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</si>
  <si>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</si>
  <si>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</si>
  <si>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</si>
  <si>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</si>
  <si>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</si>
  <si>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</si>
  <si>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</si>
  <si>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</si>
  <si>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</si>
  <si>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</si>
  <si>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</si>
  <si>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</si>
  <si>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</si>
  <si>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</si>
  <si>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</si>
  <si>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</si>
  <si>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</si>
  <si>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</si>
  <si>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</si>
  <si>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</si>
  <si>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</si>
  <si>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</si>
  <si>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</si>
  <si>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</si>
  <si>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</si>
  <si>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</si>
  <si>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</si>
  <si>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</si>
  <si>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</si>
  <si>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</si>
  <si>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</si>
  <si>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</si>
  <si>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</si>
  <si>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</si>
  <si>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</si>
  <si>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</si>
  <si>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</si>
  <si>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</si>
  <si>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</si>
  <si>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</si>
  <si>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</si>
  <si>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</si>
  <si>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</si>
  <si>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</si>
  <si>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</si>
  <si>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</si>
  <si>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</si>
  <si>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</si>
  <si>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</si>
  <si>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</si>
  <si>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</si>
  <si>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</si>
  <si>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</si>
  <si>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</si>
  <si>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</si>
  <si>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</si>
  <si>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</si>
  <si>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</si>
  <si>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</si>
  <si>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</si>
  <si>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Finishing work of Sprint 6. Refactoring and Optimization</t>
  </si>
  <si>
    <t>Start on Apply codebook to Corpus</t>
  </si>
  <si>
    <t>Finish Apply Codeboook to Corpus and other minor issues</t>
  </si>
  <si>
    <t>Focus on displaying all of the transcripts for a particular theme and adding external API Support. Minor fixes requested by Dr.Kaiser</t>
  </si>
  <si>
    <t>Finish Analysis Visualization, Integrate incremental Codebook Generation and Application</t>
  </si>
  <si>
    <t>Story Points Realized</t>
  </si>
  <si>
    <t>Story Points Planned</t>
  </si>
  <si>
    <t>Average Planned</t>
  </si>
  <si>
    <t>Average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</si>
  <si>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</si>
  <si>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</si>
  <si>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</si>
  <si>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</si>
  <si>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</si>
  <si>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</si>
  <si>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</si>
  <si>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</si>
  <si>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</si>
  <si>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</si>
  <si>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</si>
  <si>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</si>
  <si>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</si>
  <si>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</si>
  <si>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</si>
  <si>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</si>
  <si>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</si>
  <si>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</si>
  <si>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</si>
  <si>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</si>
  <si>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</si>
  <si>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</si>
  <si>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</si>
  <si>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</si>
  <si>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</si>
  <si>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</si>
  <si>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</si>
  <si>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</si>
  <si>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</si>
  <si>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</si>
  <si>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</si>
  <si>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</si>
  <si>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</si>
  <si>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</si>
  <si>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</si>
  <si>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</si>
  <si>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</si>
  <si>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</si>
  <si>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Scrum Master Charts</t>
  </si>
  <si>
    <t>Speed</t>
  </si>
  <si>
    <t>sp</t>
  </si>
  <si>
    <r>
      <rPr>
        <rFont val="arial, sans, sans-serif"/>
      </rPr>
      <t xml:space="preserve">Add root </t>
    </r>
    <r>
      <rPr>
        <rFont val="arial, sans, sans-serif"/>
        <color rgb="FF1155CC"/>
        <u/>
      </rPr>
      <t>README.md</t>
    </r>
    <r>
      <rPr>
        <rFont val="arial, sans, sans-serif"/>
      </rPr>
      <t xml:space="preserve"> file</t>
    </r>
  </si>
  <si>
    <t>Automatic Codebook Frontend</t>
  </si>
  <si>
    <t>Delete Transkript</t>
  </si>
  <si>
    <t>Delete Demographic Data</t>
  </si>
  <si>
    <t>Delete Codebook</t>
  </si>
  <si>
    <t>Enter Natural Language Query</t>
  </si>
  <si>
    <t>Apply Codebook to Corpus</t>
  </si>
  <si>
    <t>Semi-Automatic Codebook Creation</t>
  </si>
  <si>
    <t>Linking Interviews and Demographic Data manually</t>
  </si>
  <si>
    <t>Delete Corpus</t>
  </si>
  <si>
    <t>View Interviewee Demographics</t>
  </si>
  <si>
    <t>Read Full Transcript</t>
  </si>
  <si>
    <t>Trigger Codebook Application</t>
  </si>
  <si>
    <t>Export Analysis Results</t>
  </si>
  <si>
    <t>LLM API Configuration UI</t>
  </si>
  <si>
    <t>LLM API Configuration Backend</t>
  </si>
  <si>
    <t>Finish Codebook Application and Updating Frontend</t>
  </si>
  <si>
    <t>Add Generate Codebook Button to Upload Page</t>
  </si>
  <si>
    <t>Add Theme Description to Codebook Page</t>
  </si>
  <si>
    <t>Drill Down into a Theme</t>
  </si>
  <si>
    <t>Highlight Themes on Interview View</t>
  </si>
  <si>
    <t>Choose Analysis Runs on Codebook View Page</t>
  </si>
  <si>
    <t>View Analsys Button</t>
  </si>
  <si>
    <t>Remove "Code" from Codebook Editing Page</t>
  </si>
  <si>
    <t>Delete Analysis Runs</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</si>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</sst>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2" fontId="6" numFmtId="0" xfId="0" applyAlignment="1" applyFont="1">
      <alignment readingOrder="0" shrinkToFit="0" vertical="bottom" wrapText="0"/>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4" fontId="6" numFmtId="0" xfId="0" applyAlignment="1" applyFont="1">
      <alignment horizontal="left" readingOrder="0" shrinkToFit="0" vertical="bottom" wrapText="1"/>
    </xf>
    <xf borderId="0" fillId="2" fontId="5" numFmtId="0" xfId="0" applyAlignment="1" applyFont="1">
      <alignment readingOrder="0" shrinkToFit="0" vertical="bottom"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no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Tracking'!$B$2:$B$13</c:f>
              <c:numCache/>
            </c:numRef>
          </c:val>
        </c:ser>
        <c:ser>
          <c:idx val="1"/>
          <c:order val="1"/>
          <c:tx>
            <c:strRef>
              <c:f>'Velocity Chart'!$B$7</c:f>
            </c:strRef>
          </c:tx>
          <c:spPr>
            <a:solidFill>
              <a:srgbClr val="DB4437">
                <a:alpha val="0"/>
              </a:srgbClr>
            </a:solidFill>
            <a:ln cmpd="sng">
              <a:no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Chart'!$B$8:$B$19</c:f>
              <c:numCache/>
            </c:numRef>
          </c:val>
        </c:ser>
        <c:axId val="496277135"/>
        <c:axId val="1863727842"/>
      </c:barChart>
      <c:catAx>
        <c:axId val="4962771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863727842"/>
      </c:catAx>
      <c:valAx>
        <c:axId val="1863727842"/>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9627713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noFill/>
            </a:ln>
          </c:spPr>
          <c:cat>
            <c:strRef>
              <c:f>'Velocity Tracking'!$A$2:$A$14</c:f>
            </c:strRef>
          </c:cat>
          <c:val>
            <c:numRef>
              <c:f>'Velocity Tracking'!$C$2:$C$14</c:f>
              <c:numCache/>
            </c:numRef>
          </c:val>
        </c:ser>
        <c:ser>
          <c:idx val="1"/>
          <c:order val="1"/>
          <c:tx>
            <c:v>Completed (Work actually done during sprint)</c:v>
          </c:tx>
          <c:spPr>
            <a:solidFill>
              <a:srgbClr val="53A679"/>
            </a:solidFill>
            <a:ln cmpd="sng">
              <a:noFill/>
            </a:ln>
          </c:spPr>
          <c:dPt>
            <c:idx val="1"/>
          </c:dPt>
          <c:cat>
            <c:strRef>
              <c:f>'Velocity Tracking'!$A$2:$A$14</c:f>
            </c:strRef>
          </c:cat>
          <c:val>
            <c:numRef>
              <c:f>'Velocity Tracking'!$B$2:$B$14</c:f>
              <c:numCache/>
            </c:numRef>
          </c:val>
        </c:ser>
        <c:axId val="127926231"/>
        <c:axId val="47579429"/>
      </c:barChart>
      <c:lineChart>
        <c:varyColors val="0"/>
        <c:ser>
          <c:idx val="2"/>
          <c:order val="2"/>
          <c:tx>
            <c:v>Average Realized (Work done on average in all shown sprints)</c:v>
          </c:tx>
          <c:spPr>
            <a:ln cmpd="sng">
              <a:solidFill>
                <a:srgbClr val="5D677F">
                  <a:alpha val="100000"/>
                </a:srgbClr>
              </a:solidFill>
            </a:ln>
          </c:spPr>
          <c:marker>
            <c:symbol val="none"/>
          </c:marker>
          <c:dPt>
            <c:idx val="0"/>
            <c:marker>
              <c:symbol val="none"/>
            </c:marker>
          </c:dPt>
          <c:dPt>
            <c:idx val="11"/>
            <c:marker>
              <c:symbol val="none"/>
            </c:marker>
          </c:dPt>
          <c:dPt>
            <c:idx val="12"/>
            <c:marker>
              <c:symbol val="none"/>
            </c:marker>
          </c:dPt>
          <c:cat>
            <c:strRef>
              <c:f>'Velocity Tracking'!$A$2:$A$14</c:f>
            </c:strRef>
          </c:cat>
          <c:val>
            <c:numRef>
              <c:f>'Velocity Tracking'!$E$2:$E$14</c:f>
              <c:numCache/>
            </c:numRef>
          </c:val>
          <c:smooth val="0"/>
        </c:ser>
        <c:axId val="127926231"/>
        <c:axId val="47579429"/>
      </c:lineChart>
      <c:catAx>
        <c:axId val="12792623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7579429"/>
      </c:catAx>
      <c:valAx>
        <c:axId val="475794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7926231"/>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Chart'!$F$6:$F$12</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Chart'!$E$6:$E$12</c:f>
              <c:numCache/>
            </c:numRef>
          </c:val>
          <c:smooth val="0"/>
        </c:ser>
        <c:axId val="1901625428"/>
        <c:axId val="1598751394"/>
      </c:lineChart>
      <c:catAx>
        <c:axId val="1901625428"/>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598751394"/>
      </c:catAx>
      <c:valAx>
        <c:axId val="1598751394"/>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90162542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no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Tracking'!$B$2:$B$13</c:f>
              <c:numCache/>
            </c:numRef>
          </c:val>
        </c:ser>
        <c:ser>
          <c:idx val="1"/>
          <c:order val="1"/>
          <c:tx>
            <c:strRef>
              <c:f>'Final Velocity Chart'!$C$9</c:f>
            </c:strRef>
          </c:tx>
          <c:spPr>
            <a:solidFill>
              <a:srgbClr val="DB4437">
                <a:alpha val="0"/>
              </a:srgbClr>
            </a:solidFill>
            <a:ln cmpd="sng">
              <a:noFill/>
              <a:prstDash val="solid"/>
            </a:ln>
          </c:spPr>
          <c:trendline>
            <c:name>Average Velocity</c:name>
            <c:spPr>
              <a:ln w="9525">
                <a:solidFill>
                  <a:srgbClr val="000000"/>
                </a:solidFill>
              </a:ln>
            </c:spPr>
            <c:trendlineType val="linear"/>
            <c:dispRSqr val="0"/>
            <c:dispEq val="0"/>
          </c:trendline>
          <c:cat>
            <c:strRef>
              <c:f>'Velocity Tracking'!$A$2:$A$13</c:f>
            </c:strRef>
          </c:cat>
          <c:val>
            <c:numRef>
              <c:f>'Final Velocity Chart'!$C$10:$C$21</c:f>
              <c:numCache/>
            </c:numRef>
          </c:val>
        </c:ser>
        <c:axId val="486200134"/>
        <c:axId val="1905860051"/>
      </c:barChart>
      <c:catAx>
        <c:axId val="48620013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05860051"/>
      </c:catAx>
      <c:valAx>
        <c:axId val="1905860051"/>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486200134"/>
      </c:valAx>
    </c:plotArea>
    <c:legend>
      <c:legendPos val="r"/>
      <c:overlay val="0"/>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noFill/>
            </a:ln>
          </c:spPr>
          <c:cat>
            <c:strRef>
              <c:f>'Velocity Tracking'!$A$2:$A$16</c:f>
            </c:strRef>
          </c:cat>
          <c:val>
            <c:numRef>
              <c:f>'Velocity Tracking'!$C$2:$C$16</c:f>
              <c:numCache/>
            </c:numRef>
          </c:val>
        </c:ser>
        <c:ser>
          <c:idx val="1"/>
          <c:order val="1"/>
          <c:tx>
            <c:v>Completed (Work actually done during sprint)</c:v>
          </c:tx>
          <c:spPr>
            <a:solidFill>
              <a:srgbClr val="53A679"/>
            </a:solidFill>
            <a:ln cmpd="sng">
              <a:noFill/>
            </a:ln>
          </c:spPr>
          <c:dPt>
            <c:idx val="1"/>
          </c:dPt>
          <c:cat>
            <c:strRef>
              <c:f>'Velocity Tracking'!$A$2:$A$16</c:f>
            </c:strRef>
          </c:cat>
          <c:val>
            <c:numRef>
              <c:f>'Velocity Tracking'!$B$2:$B$16</c:f>
              <c:numCache/>
            </c:numRef>
          </c:val>
        </c:ser>
        <c:axId val="1427014139"/>
        <c:axId val="1135753284"/>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427014139"/>
        <c:axId val="1135753284"/>
      </c:lineChart>
      <c:catAx>
        <c:axId val="14270141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135753284"/>
      </c:catAx>
      <c:valAx>
        <c:axId val="11357532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427014139"/>
      </c:valAx>
    </c:plotArea>
    <c:legend>
      <c:legendPos val="t"/>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'Final Project Release plan'!$A$8:$A$19</c:f>
            </c:strRef>
          </c:cat>
          <c:val>
            <c:numRef>
              <c:f>'Final Project Release plan'!$E$8:$E$19</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'Final Project Release plan'!$A$8:$A$19</c:f>
            </c:strRef>
          </c:cat>
          <c:val>
            <c:numRef>
              <c:f>'Final Burndown Chart'!$E$7:$E$18</c:f>
              <c:numCache/>
            </c:numRef>
          </c:val>
          <c:smooth val="0"/>
        </c:ser>
        <c:axId val="1814302807"/>
        <c:axId val="640241365"/>
      </c:lineChart>
      <c:catAx>
        <c:axId val="1814302807"/>
        <c:scaling>
          <c:orientation val="minMax"/>
          <c:max val="10.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640241365"/>
      </c:catAx>
      <c:valAx>
        <c:axId val="640241365"/>
        <c:scaling>
          <c:orientation val="minMax"/>
          <c:max val="18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14302807"/>
      </c:valAx>
    </c:plotArea>
    <c:plotVisOnly val="1"/>
  </c:chart>
</c:chartSpace>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9525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2</xdr:row>
      <xdr:rowOff>104775</xdr:rowOff>
    </xdr:from>
    <xdr:ext cx="6343650" cy="39243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34</xdr:row>
      <xdr:rowOff>76200</xdr:rowOff>
    </xdr:from>
    <xdr:ext cx="6343650" cy="3924300"/>
    <xdr:graphicFrame>
      <xdr:nvGraphicFramePr>
        <xdr:cNvPr id="5" name="Chart 5"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0</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6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9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7"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2.xml"/><Relationship Id="rId4"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2" t="s">
        <v>172</v>
      </c>
    </row>
    <row r="9">
      <c r="A9" s="45">
        <f t="shared" si="1"/>
        <v>8</v>
      </c>
      <c r="B9" s="46" t="s">
        <v>173</v>
      </c>
    </row>
    <row r="10">
      <c r="A10" s="45">
        <f t="shared" si="1"/>
        <v>9</v>
      </c>
      <c r="B10" s="2" t="s">
        <v>174</v>
      </c>
    </row>
    <row r="11">
      <c r="A11" s="45">
        <f t="shared" si="1"/>
        <v>10</v>
      </c>
      <c r="B11" s="2" t="s">
        <v>175</v>
      </c>
    </row>
    <row r="12">
      <c r="A12" s="45">
        <f t="shared" si="1"/>
        <v>11</v>
      </c>
      <c r="B12" s="2" t="s">
        <v>176</v>
      </c>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8" t="s">
        <v>177</v>
      </c>
      <c r="C1" s="48" t="s">
        <v>178</v>
      </c>
      <c r="D1" s="48" t="s">
        <v>179</v>
      </c>
      <c r="E1" s="48" t="s">
        <v>180</v>
      </c>
    </row>
    <row r="2">
      <c r="A2" s="45">
        <v>1.0</v>
      </c>
      <c r="B2" s="49">
        <f>'Final Project Release plan'!F9</f>
        <v>5</v>
      </c>
      <c r="C2" s="49">
        <f> 'Final Project Release plan'!D9</f>
        <v>5</v>
      </c>
      <c r="D2" s="49">
        <f> AVERAGE(C2:C16)</f>
        <v>15</v>
      </c>
      <c r="E2" s="49">
        <f> AVERAGE(B2:B16)</f>
        <v>16.54545455</v>
      </c>
    </row>
    <row r="3">
      <c r="A3" s="45">
        <f t="shared" ref="A3:A16" si="1">A2+1</f>
        <v>2</v>
      </c>
      <c r="B3" s="49">
        <f>'Final Project Release plan'!F10</f>
        <v>39</v>
      </c>
      <c r="C3" s="49">
        <f> 'Final Project Release plan'!D10</f>
        <v>19</v>
      </c>
      <c r="D3" s="49">
        <f> D2</f>
        <v>15</v>
      </c>
      <c r="E3" s="49">
        <f>E2</f>
        <v>16.54545455</v>
      </c>
    </row>
    <row r="4">
      <c r="A4" s="45">
        <f t="shared" si="1"/>
        <v>3</v>
      </c>
      <c r="B4" s="49">
        <f>'Final Project Release plan'!F11</f>
        <v>22</v>
      </c>
      <c r="C4" s="49">
        <f> 'Final Project Release plan'!D11</f>
        <v>22</v>
      </c>
      <c r="D4" s="49">
        <f> D2</f>
        <v>15</v>
      </c>
      <c r="E4" s="49">
        <f>E2</f>
        <v>16.54545455</v>
      </c>
    </row>
    <row r="5">
      <c r="A5" s="45">
        <f t="shared" si="1"/>
        <v>4</v>
      </c>
      <c r="B5" s="49">
        <f>'Final Project Release plan'!F12</f>
        <v>13</v>
      </c>
      <c r="C5" s="49">
        <f> 'Final Project Release plan'!D12</f>
        <v>10</v>
      </c>
      <c r="D5" s="49">
        <f> D2</f>
        <v>15</v>
      </c>
      <c r="E5" s="49">
        <f>E2</f>
        <v>16.54545455</v>
      </c>
    </row>
    <row r="6">
      <c r="A6" s="45">
        <f t="shared" si="1"/>
        <v>5</v>
      </c>
      <c r="B6" s="49">
        <f>'Final Project Release plan'!F13</f>
        <v>19</v>
      </c>
      <c r="C6" s="49">
        <f> 'Final Project Release plan'!D13</f>
        <v>19</v>
      </c>
      <c r="D6" s="49">
        <f> D2</f>
        <v>15</v>
      </c>
      <c r="E6" s="49">
        <f>E2</f>
        <v>16.54545455</v>
      </c>
    </row>
    <row r="7">
      <c r="A7" s="45">
        <f t="shared" si="1"/>
        <v>6</v>
      </c>
      <c r="B7" s="49">
        <f>'Final Project Release plan'!F14</f>
        <v>5</v>
      </c>
      <c r="C7" s="49">
        <f> 'Final Project Release plan'!D14</f>
        <v>5</v>
      </c>
      <c r="D7" s="50">
        <f> D2</f>
        <v>15</v>
      </c>
      <c r="E7" s="50">
        <f>E2</f>
        <v>16.54545455</v>
      </c>
    </row>
    <row r="8">
      <c r="A8" s="45">
        <f t="shared" si="1"/>
        <v>7</v>
      </c>
      <c r="B8" s="49">
        <f>'Final Project Release plan'!F15</f>
        <v>11</v>
      </c>
      <c r="C8" s="49">
        <f> 'Final Project Release plan'!D15</f>
        <v>9</v>
      </c>
      <c r="D8" s="50">
        <f> D2</f>
        <v>15</v>
      </c>
      <c r="E8" s="50">
        <f>E2</f>
        <v>16.54545455</v>
      </c>
    </row>
    <row r="9">
      <c r="A9" s="45">
        <f t="shared" si="1"/>
        <v>8</v>
      </c>
      <c r="B9" s="49">
        <f>'Final Project Release plan'!F16</f>
        <v>10</v>
      </c>
      <c r="C9" s="49">
        <f> 'Final Project Release plan'!D16</f>
        <v>12</v>
      </c>
      <c r="D9" s="50">
        <f> D2</f>
        <v>15</v>
      </c>
      <c r="E9" s="50">
        <f>E2</f>
        <v>16.54545455</v>
      </c>
    </row>
    <row r="10">
      <c r="A10" s="45">
        <f t="shared" si="1"/>
        <v>9</v>
      </c>
      <c r="B10" s="49">
        <f>'Final Project Release plan'!F17</f>
        <v>27</v>
      </c>
      <c r="C10" s="49">
        <f> 'Final Project Release plan'!D17</f>
        <v>27</v>
      </c>
      <c r="D10" s="50">
        <f> D2</f>
        <v>15</v>
      </c>
      <c r="E10" s="50">
        <f>E2</f>
        <v>16.54545455</v>
      </c>
    </row>
    <row r="11">
      <c r="A11" s="45">
        <f t="shared" si="1"/>
        <v>10</v>
      </c>
      <c r="B11" s="50">
        <f>'Final Project Release plan'!F18</f>
        <v>22</v>
      </c>
      <c r="C11" s="50">
        <f> 'Final Project Release plan'!D18</f>
        <v>28</v>
      </c>
      <c r="D11" s="50">
        <f> D2</f>
        <v>15</v>
      </c>
      <c r="E11" s="50">
        <f>E2</f>
        <v>16.54545455</v>
      </c>
    </row>
    <row r="12">
      <c r="A12" s="45">
        <f t="shared" si="1"/>
        <v>11</v>
      </c>
      <c r="B12" s="50">
        <f>'Final Project Release plan'!F19</f>
        <v>9</v>
      </c>
      <c r="C12" s="50">
        <f> 'Final Project Release plan'!D19</f>
        <v>9</v>
      </c>
      <c r="D12" s="50">
        <f> D2</f>
        <v>15</v>
      </c>
      <c r="E12" s="50">
        <f>E2</f>
        <v>16.54545455</v>
      </c>
    </row>
    <row r="13">
      <c r="A13" s="45">
        <f t="shared" si="1"/>
        <v>12</v>
      </c>
      <c r="B13" s="49"/>
      <c r="C13" s="50"/>
      <c r="D13" s="50">
        <f> D2</f>
        <v>15</v>
      </c>
      <c r="E13" s="50">
        <f>E2</f>
        <v>16.54545455</v>
      </c>
    </row>
    <row r="14">
      <c r="A14" s="45">
        <f t="shared" si="1"/>
        <v>13</v>
      </c>
      <c r="B14" s="50"/>
      <c r="C14" s="50"/>
      <c r="D14" s="50">
        <f> D2</f>
        <v>15</v>
      </c>
      <c r="E14" s="50">
        <f>E2</f>
        <v>16.54545455</v>
      </c>
    </row>
    <row r="15">
      <c r="A15" s="45">
        <f t="shared" si="1"/>
        <v>14</v>
      </c>
      <c r="B15" s="50"/>
      <c r="C15" s="50"/>
      <c r="D15" s="50">
        <f> D2</f>
        <v>15</v>
      </c>
      <c r="E15" s="50">
        <f>E2</f>
        <v>16.54545455</v>
      </c>
    </row>
    <row r="16">
      <c r="A16" s="45">
        <f t="shared" si="1"/>
        <v>15</v>
      </c>
      <c r="B16" s="50"/>
      <c r="C16" s="50"/>
      <c r="D16" s="50">
        <f> D2</f>
        <v>15</v>
      </c>
      <c r="E16" s="50">
        <f>E2</f>
        <v>16.54545455</v>
      </c>
    </row>
    <row r="17">
      <c r="A17" s="45"/>
      <c r="B17" s="50"/>
      <c r="C17" s="50"/>
      <c r="D17" s="50"/>
      <c r="E17" s="50"/>
    </row>
    <row r="18">
      <c r="A18" s="45"/>
      <c r="B18" s="51" t="s">
        <v>181</v>
      </c>
      <c r="C18" s="51"/>
      <c r="D18" s="51"/>
      <c r="E18" s="51"/>
    </row>
    <row r="19">
      <c r="A19" s="47"/>
      <c r="B19" s="3"/>
      <c r="C19" s="3"/>
      <c r="D19" s="3"/>
      <c r="E19" s="3"/>
    </row>
    <row r="20">
      <c r="A20" s="47"/>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182</v>
      </c>
      <c r="B1" s="53" t="s">
        <v>183</v>
      </c>
      <c r="C1" s="54" t="s">
        <v>184</v>
      </c>
      <c r="D1" s="55" t="s">
        <v>185</v>
      </c>
      <c r="E1" s="55" t="s">
        <v>186</v>
      </c>
      <c r="F1" s="55" t="s">
        <v>187</v>
      </c>
      <c r="G1" s="55" t="s">
        <v>188</v>
      </c>
    </row>
    <row r="2">
      <c r="A2" s="56"/>
      <c r="B2" s="57"/>
      <c r="C2" s="58"/>
      <c r="D2" s="58"/>
      <c r="E2" s="58"/>
      <c r="F2" s="58"/>
      <c r="G2" s="58"/>
    </row>
    <row r="3">
      <c r="A3" s="59" t="s">
        <v>189</v>
      </c>
      <c r="B3" s="60"/>
      <c r="C3" s="61"/>
      <c r="D3" s="61"/>
      <c r="E3" s="61"/>
      <c r="F3" s="61"/>
      <c r="G3" s="61"/>
    </row>
    <row r="4">
      <c r="A4" s="56"/>
      <c r="B4" s="57"/>
      <c r="C4" s="58"/>
      <c r="D4" s="58"/>
      <c r="E4" s="58"/>
      <c r="F4" s="58"/>
      <c r="G4" s="58"/>
    </row>
    <row r="5">
      <c r="A5" s="62" t="s">
        <v>190</v>
      </c>
      <c r="B5" s="63"/>
      <c r="C5" s="36"/>
      <c r="D5" s="64">
        <f>sum(D9:D14)</f>
        <v>89</v>
      </c>
      <c r="E5" s="64"/>
      <c r="F5" s="36">
        <f>SUM(F8:F14)</f>
        <v>98</v>
      </c>
      <c r="G5" s="36"/>
    </row>
    <row r="6">
      <c r="A6" s="56"/>
      <c r="B6" s="57"/>
      <c r="C6" s="58"/>
      <c r="D6" s="58"/>
      <c r="E6" s="58"/>
      <c r="F6" s="58"/>
      <c r="G6" s="58"/>
    </row>
    <row r="7">
      <c r="A7" s="65" t="s">
        <v>191</v>
      </c>
      <c r="B7" s="66"/>
      <c r="C7" s="67"/>
      <c r="D7" s="67"/>
      <c r="E7" s="67"/>
      <c r="F7" s="67"/>
      <c r="G7" s="67"/>
    </row>
    <row r="8">
      <c r="A8" s="68">
        <v>0.0</v>
      </c>
      <c r="B8" s="57"/>
      <c r="C8" s="58"/>
      <c r="D8" s="58"/>
      <c r="E8" s="69" t="s">
        <v>192</v>
      </c>
      <c r="F8" s="58"/>
      <c r="G8" s="69" t="s">
        <v>193</v>
      </c>
    </row>
    <row r="9">
      <c r="A9" s="70">
        <v>1.0</v>
      </c>
      <c r="B9" s="9" t="str">
        <f>'Sprint Goals'!B2</f>
        <v>Meeting with industry partner, designing the logo, setting up the project</v>
      </c>
      <c r="C9" s="36"/>
      <c r="D9" s="64">
        <f>sum(D24:D29)</f>
        <v>5</v>
      </c>
      <c r="E9" s="64">
        <f>$D$5-D9</f>
        <v>84</v>
      </c>
      <c r="F9" s="64">
        <f>sum(F24:F29)</f>
        <v>5</v>
      </c>
      <c r="G9" s="64">
        <f>F5</f>
        <v>98</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4" si="2">E9-D10</f>
        <v>65</v>
      </c>
      <c r="F10" s="71">
        <f>sum(F31:F34)</f>
        <v>39</v>
      </c>
      <c r="G10" s="71">
        <f t="shared" ref="G10:G14" si="3">G9-F9</f>
        <v>93</v>
      </c>
    </row>
    <row r="11">
      <c r="A11" s="70">
        <f t="shared" si="1"/>
        <v>3</v>
      </c>
      <c r="B11" s="9" t="str">
        <f>'Sprint Goals'!B4</f>
        <v>Creating a basic demo to be shown to Dr. Kaiser. Starting with simple views, database and llm communication</v>
      </c>
      <c r="C11" s="36"/>
      <c r="D11" s="64">
        <f>sum(D36:D41)</f>
        <v>22</v>
      </c>
      <c r="E11" s="64">
        <f t="shared" si="2"/>
        <v>43</v>
      </c>
      <c r="F11" s="64">
        <f>sum(F37:F41)</f>
        <v>22</v>
      </c>
      <c r="G11" s="64">
        <f t="shared" si="3"/>
        <v>54</v>
      </c>
    </row>
    <row r="12">
      <c r="A12" s="68">
        <v>4.0</v>
      </c>
      <c r="B12" s="9" t="str">
        <f>'Sprint Goals'!B5</f>
        <v>Creating the first version of the frontend, finishing up the basic demo of the backend. Adding a Readme and writting a proper Build script.</v>
      </c>
      <c r="C12" s="58"/>
      <c r="D12" s="58">
        <f>SUM(D44:D48)</f>
        <v>10</v>
      </c>
      <c r="E12" s="64">
        <f t="shared" si="2"/>
        <v>33</v>
      </c>
      <c r="F12" s="58">
        <f>sum(F44:F48)</f>
        <v>13</v>
      </c>
      <c r="G12" s="71">
        <f t="shared" si="3"/>
        <v>32</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14</v>
      </c>
      <c r="F13" s="36">
        <f>sum(F51:F54)</f>
        <v>19</v>
      </c>
      <c r="G13" s="71">
        <f t="shared" si="3"/>
        <v>19</v>
      </c>
    </row>
    <row r="14">
      <c r="A14" s="70">
        <f t="shared" si="4"/>
        <v>6</v>
      </c>
      <c r="B14" s="9" t="str">
        <f>'Sprint Goals'!B7</f>
        <v>Working on the thematic analysis logic for the mid project release</v>
      </c>
      <c r="C14" s="36"/>
      <c r="D14" s="32">
        <f>sum(D57:D61)</f>
        <v>14</v>
      </c>
      <c r="E14" s="32">
        <f t="shared" si="2"/>
        <v>0</v>
      </c>
      <c r="F14" s="36">
        <f>sum(F57:F61)</f>
        <v>0</v>
      </c>
      <c r="G14" s="71">
        <f t="shared" si="3"/>
        <v>0</v>
      </c>
    </row>
    <row r="15">
      <c r="A15" s="70"/>
      <c r="B15" s="9"/>
      <c r="C15" s="36"/>
      <c r="D15" s="36"/>
      <c r="E15" s="36"/>
      <c r="F15" s="36"/>
      <c r="G15" s="36"/>
    </row>
    <row r="16">
      <c r="A16" s="70"/>
      <c r="C16" s="36"/>
      <c r="D16" s="36"/>
      <c r="E16" s="36"/>
      <c r="F16" s="36"/>
      <c r="G16" s="36"/>
    </row>
    <row r="17">
      <c r="A17" s="70"/>
      <c r="B17" s="9"/>
      <c r="C17" s="36"/>
      <c r="D17" s="36"/>
      <c r="E17" s="36"/>
      <c r="F17" s="36"/>
      <c r="G17" s="36"/>
    </row>
    <row r="18">
      <c r="A18" s="70"/>
      <c r="B18" s="9"/>
      <c r="C18" s="36"/>
      <c r="D18" s="36"/>
      <c r="E18" s="36"/>
      <c r="F18" s="36"/>
      <c r="G18" s="36"/>
    </row>
    <row r="19">
      <c r="A19" s="70"/>
      <c r="B19" s="62"/>
      <c r="C19" s="36"/>
      <c r="D19" s="36"/>
      <c r="E19" s="36"/>
      <c r="F19" s="36"/>
      <c r="G19" s="36"/>
    </row>
    <row r="20">
      <c r="A20" s="70"/>
      <c r="B20" s="62"/>
      <c r="C20" s="36"/>
      <c r="D20" s="36"/>
      <c r="E20" s="36"/>
      <c r="F20" s="36"/>
      <c r="G20" s="36"/>
    </row>
    <row r="21">
      <c r="A21" s="70"/>
      <c r="B21" s="62"/>
      <c r="C21" s="36"/>
      <c r="D21" s="36"/>
      <c r="E21" s="36"/>
      <c r="F21" s="36"/>
      <c r="G21" s="36"/>
    </row>
    <row r="22">
      <c r="A22" s="72" t="s">
        <v>194</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195</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196</v>
      </c>
      <c r="D31" s="32">
        <v>3.0</v>
      </c>
      <c r="E31" s="36"/>
      <c r="F31" s="32">
        <v>5.0</v>
      </c>
      <c r="G31" s="36"/>
    </row>
    <row r="32">
      <c r="A32" s="80"/>
      <c r="B32" s="78"/>
      <c r="C32" s="46" t="s">
        <v>197</v>
      </c>
      <c r="D32" s="81">
        <v>8.0</v>
      </c>
      <c r="E32" s="78"/>
      <c r="F32" s="81">
        <v>13.0</v>
      </c>
      <c r="G32" s="78"/>
    </row>
    <row r="33">
      <c r="A33" s="70"/>
      <c r="B33" s="77"/>
      <c r="C33" s="32" t="s">
        <v>198</v>
      </c>
      <c r="D33" s="82">
        <v>8.0</v>
      </c>
      <c r="E33" s="36"/>
      <c r="F33" s="82">
        <v>13.0</v>
      </c>
      <c r="G33" s="36"/>
    </row>
    <row r="34">
      <c r="A34" s="80"/>
      <c r="B34" s="78"/>
      <c r="C34" s="46" t="s">
        <v>199</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200</v>
      </c>
      <c r="D37" s="32">
        <v>5.0</v>
      </c>
      <c r="E37" s="36"/>
      <c r="F37" s="32">
        <v>5.0</v>
      </c>
      <c r="G37" s="36"/>
    </row>
    <row r="38">
      <c r="A38" s="80"/>
      <c r="B38" s="78"/>
      <c r="C38" s="46" t="s">
        <v>201</v>
      </c>
      <c r="D38" s="81">
        <v>8.0</v>
      </c>
      <c r="E38" s="78"/>
      <c r="F38" s="46">
        <v>8.0</v>
      </c>
      <c r="G38" s="78"/>
    </row>
    <row r="39">
      <c r="A39" s="70"/>
      <c r="B39" s="77"/>
      <c r="C39" s="32" t="s">
        <v>202</v>
      </c>
      <c r="D39" s="82">
        <v>1.0</v>
      </c>
      <c r="E39" s="36"/>
      <c r="F39" s="32">
        <v>1.0</v>
      </c>
      <c r="G39" s="36"/>
    </row>
    <row r="40">
      <c r="A40" s="80"/>
      <c r="B40" s="78"/>
      <c r="C40" s="30" t="s">
        <v>203</v>
      </c>
      <c r="D40" s="81">
        <v>3.0</v>
      </c>
      <c r="E40" s="78"/>
      <c r="F40" s="46">
        <v>3.0</v>
      </c>
      <c r="G40" s="78"/>
    </row>
    <row r="41">
      <c r="A41" s="80"/>
      <c r="B41" s="78"/>
      <c r="C41" s="30" t="s">
        <v>204</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205</v>
      </c>
      <c r="D44" s="81">
        <v>3.0</v>
      </c>
      <c r="E44" s="78"/>
      <c r="F44" s="46">
        <v>3.0</v>
      </c>
      <c r="G44" s="78"/>
    </row>
    <row r="45">
      <c r="A45" s="80"/>
      <c r="B45" s="78"/>
      <c r="C45" s="30" t="s">
        <v>206</v>
      </c>
      <c r="D45" s="81">
        <v>3.0</v>
      </c>
      <c r="E45" s="78"/>
      <c r="F45" s="46">
        <v>3.0</v>
      </c>
      <c r="G45" s="78"/>
    </row>
    <row r="46">
      <c r="A46" s="80"/>
      <c r="B46" s="78"/>
      <c r="C46" s="83" t="s">
        <v>207</v>
      </c>
      <c r="D46" s="81">
        <v>1.0</v>
      </c>
      <c r="E46" s="78"/>
      <c r="F46" s="46">
        <v>1.0</v>
      </c>
      <c r="G46" s="78"/>
    </row>
    <row r="47">
      <c r="A47" s="80"/>
      <c r="B47" s="78"/>
      <c r="C47" s="30" t="s">
        <v>208</v>
      </c>
      <c r="D47" s="81">
        <v>1.0</v>
      </c>
      <c r="E47" s="78"/>
      <c r="F47" s="46">
        <v>3.0</v>
      </c>
      <c r="G47" s="78"/>
    </row>
    <row r="48">
      <c r="A48" s="80"/>
      <c r="B48" s="78"/>
      <c r="C48" s="30" t="s">
        <v>209</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210</v>
      </c>
      <c r="D51" s="81">
        <v>8.0</v>
      </c>
      <c r="E51" s="78"/>
      <c r="F51" s="46">
        <v>8.0</v>
      </c>
      <c r="G51" s="78"/>
    </row>
    <row r="52">
      <c r="A52" s="80"/>
      <c r="B52" s="78"/>
      <c r="C52" s="30" t="s">
        <v>211</v>
      </c>
      <c r="D52" s="81">
        <v>5.0</v>
      </c>
      <c r="E52" s="78"/>
      <c r="F52" s="46">
        <v>3.0</v>
      </c>
      <c r="G52" s="78"/>
    </row>
    <row r="53">
      <c r="A53" s="80"/>
      <c r="B53" s="78"/>
      <c r="C53" s="30" t="s">
        <v>212</v>
      </c>
      <c r="D53" s="81">
        <v>3.0</v>
      </c>
      <c r="E53" s="78"/>
      <c r="F53" s="46">
        <v>3.0</v>
      </c>
      <c r="G53" s="78"/>
    </row>
    <row r="54">
      <c r="A54" s="58"/>
      <c r="B54" s="58"/>
      <c r="C54" s="30" t="s">
        <v>213</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E56" s="58"/>
      <c r="F56" s="58"/>
      <c r="G56" s="58"/>
    </row>
    <row r="57">
      <c r="A57" s="80"/>
      <c r="B57" s="78"/>
      <c r="C57" s="30" t="s">
        <v>214</v>
      </c>
      <c r="D57" s="30">
        <v>5.0</v>
      </c>
      <c r="E57" s="58"/>
      <c r="F57" s="58"/>
      <c r="G57" s="58"/>
    </row>
    <row r="58">
      <c r="A58" s="80"/>
      <c r="B58" s="78"/>
      <c r="C58" s="30" t="s">
        <v>215</v>
      </c>
      <c r="D58" s="30">
        <v>2.0</v>
      </c>
      <c r="E58" s="58"/>
      <c r="F58" s="58"/>
      <c r="G58" s="58"/>
    </row>
    <row r="59">
      <c r="A59" s="80"/>
      <c r="B59" s="78"/>
      <c r="C59" s="30" t="s">
        <v>216</v>
      </c>
      <c r="D59" s="30">
        <v>2.0</v>
      </c>
      <c r="E59" s="58"/>
      <c r="F59" s="58"/>
      <c r="G59" s="58"/>
    </row>
    <row r="60">
      <c r="A60" s="80"/>
      <c r="B60" s="78"/>
      <c r="C60" s="30" t="s">
        <v>217</v>
      </c>
      <c r="D60" s="23">
        <v>3.0</v>
      </c>
      <c r="E60" s="58"/>
      <c r="F60" s="58"/>
      <c r="G60" s="58"/>
    </row>
    <row r="61">
      <c r="A61" s="80"/>
      <c r="B61" s="78"/>
      <c r="C61" s="30" t="s">
        <v>218</v>
      </c>
      <c r="D61" s="30">
        <v>2.0</v>
      </c>
      <c r="E61" s="58"/>
      <c r="F61" s="58"/>
      <c r="G61" s="58"/>
    </row>
    <row r="62">
      <c r="A62" s="80"/>
      <c r="B62" s="78"/>
      <c r="C62" s="58"/>
      <c r="D62" s="58"/>
      <c r="E62" s="58"/>
      <c r="F62" s="58"/>
      <c r="G62"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7">
      <c r="B7" s="23">
        <f>average('Velocity Tracking'!B2:B12)</f>
        <v>16.54545455</v>
      </c>
    </row>
    <row r="8">
      <c r="B8">
        <f t="shared" ref="B8:B19" si="1">B7</f>
        <v>16.54545455</v>
      </c>
    </row>
    <row r="9">
      <c r="B9">
        <f t="shared" si="1"/>
        <v>16.54545455</v>
      </c>
    </row>
    <row r="10">
      <c r="B10">
        <f t="shared" si="1"/>
        <v>16.54545455</v>
      </c>
    </row>
    <row r="11">
      <c r="B11">
        <f t="shared" si="1"/>
        <v>16.54545455</v>
      </c>
    </row>
    <row r="12">
      <c r="B12">
        <f t="shared" si="1"/>
        <v>16.54545455</v>
      </c>
    </row>
    <row r="13">
      <c r="B13">
        <f t="shared" si="1"/>
        <v>16.54545455</v>
      </c>
    </row>
    <row r="14">
      <c r="B14">
        <f t="shared" si="1"/>
        <v>16.54545455</v>
      </c>
    </row>
    <row r="15">
      <c r="B15">
        <f t="shared" si="1"/>
        <v>16.54545455</v>
      </c>
    </row>
    <row r="16">
      <c r="B16">
        <f t="shared" si="1"/>
        <v>16.54545455</v>
      </c>
    </row>
    <row r="17">
      <c r="B17">
        <f t="shared" si="1"/>
        <v>16.54545455</v>
      </c>
    </row>
    <row r="18">
      <c r="B18">
        <f t="shared" si="1"/>
        <v>16.54545455</v>
      </c>
    </row>
    <row r="19">
      <c r="B19">
        <f t="shared" si="1"/>
        <v>16.54545455</v>
      </c>
    </row>
    <row r="33">
      <c r="A33" s="7" t="s">
        <v>219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row r="6">
      <c r="E6">
        <f>'Mid-Project Release plan'!D5</f>
        <v>89</v>
      </c>
      <c r="F6">
        <f>E6</f>
        <v>89</v>
      </c>
    </row>
    <row r="7">
      <c r="E7" s="85">
        <f>E6-C26</f>
        <v>74.16666667</v>
      </c>
      <c r="F7">
        <f>'Mid-Project Release plan'!E9</f>
        <v>84</v>
      </c>
    </row>
    <row r="8">
      <c r="E8" s="85">
        <f>E7-C26</f>
        <v>59.33333333</v>
      </c>
      <c r="F8">
        <f>'Mid-Project Release plan'!E10</f>
        <v>65</v>
      </c>
    </row>
    <row r="9">
      <c r="E9" s="85">
        <f>E8-C26</f>
        <v>44.5</v>
      </c>
      <c r="F9">
        <f>'Mid-Project Release plan'!E11</f>
        <v>43</v>
      </c>
    </row>
    <row r="10">
      <c r="E10" s="85">
        <f>E9-C26</f>
        <v>29.66666667</v>
      </c>
      <c r="F10">
        <f>'Mid-Project Release plan'!E12</f>
        <v>33</v>
      </c>
    </row>
    <row r="11">
      <c r="E11" s="85">
        <f>E10-C26</f>
        <v>14.83333333</v>
      </c>
      <c r="F11">
        <f>'Mid-Project Release plan'!E13</f>
        <v>14</v>
      </c>
    </row>
    <row r="12">
      <c r="E12" s="86">
        <f>E11-C26</f>
        <v>0</v>
      </c>
      <c r="F12">
        <f>'Mid-Project Release plan'!E14</f>
        <v>0</v>
      </c>
      <c r="P12" s="85"/>
    </row>
    <row r="13">
      <c r="P13" s="85"/>
    </row>
    <row r="14">
      <c r="P14" s="85"/>
    </row>
    <row r="15">
      <c r="E15" s="85"/>
      <c r="P15" s="85"/>
    </row>
    <row r="16">
      <c r="E16" s="85"/>
    </row>
    <row r="26">
      <c r="B26" s="23" t="s">
        <v>220</v>
      </c>
      <c r="C26" s="85">
        <f>'Mid-Project Release plan'!D5/'Mid-Project Release plan'!A14</f>
        <v>14.83333333</v>
      </c>
      <c r="D26" s="23" t="s">
        <v>221</v>
      </c>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2" t="s">
        <v>182</v>
      </c>
      <c r="B1" s="53" t="s">
        <v>183</v>
      </c>
      <c r="C1" s="54" t="s">
        <v>184</v>
      </c>
      <c r="D1" s="55" t="s">
        <v>185</v>
      </c>
      <c r="E1" s="55" t="s">
        <v>186</v>
      </c>
      <c r="F1" s="55" t="s">
        <v>187</v>
      </c>
      <c r="G1" s="55" t="s">
        <v>188</v>
      </c>
    </row>
    <row r="2">
      <c r="A2" s="56"/>
      <c r="B2" s="57"/>
      <c r="C2" s="58"/>
      <c r="D2" s="58"/>
      <c r="E2" s="58"/>
      <c r="F2" s="58"/>
      <c r="G2" s="58"/>
    </row>
    <row r="3">
      <c r="A3" s="59" t="s">
        <v>189</v>
      </c>
      <c r="B3" s="60"/>
      <c r="C3" s="61"/>
      <c r="D3" s="61"/>
      <c r="E3" s="61"/>
      <c r="F3" s="61"/>
      <c r="G3" s="61"/>
    </row>
    <row r="4">
      <c r="A4" s="56"/>
      <c r="B4" s="57"/>
      <c r="C4" s="58"/>
      <c r="D4" s="58"/>
      <c r="E4" s="58"/>
      <c r="F4" s="58"/>
      <c r="G4" s="58"/>
    </row>
    <row r="5">
      <c r="A5" s="62" t="s">
        <v>190</v>
      </c>
      <c r="B5" s="63"/>
      <c r="C5" s="36"/>
      <c r="D5" s="64">
        <f>sum(D9:D21)</f>
        <v>165</v>
      </c>
      <c r="E5" s="64"/>
      <c r="F5" s="36">
        <f>SUM(F8:F21)</f>
        <v>182</v>
      </c>
      <c r="G5" s="36"/>
    </row>
    <row r="6">
      <c r="A6" s="56"/>
      <c r="B6" s="57"/>
      <c r="C6" s="58"/>
      <c r="D6" s="58"/>
      <c r="E6" s="58"/>
      <c r="F6" s="58"/>
      <c r="G6" s="58"/>
    </row>
    <row r="7">
      <c r="A7" s="65" t="s">
        <v>191</v>
      </c>
      <c r="B7" s="66"/>
      <c r="C7" s="67"/>
      <c r="D7" s="67"/>
      <c r="E7" s="67"/>
      <c r="F7" s="67"/>
      <c r="G7" s="67"/>
    </row>
    <row r="8">
      <c r="A8" s="68">
        <v>0.0</v>
      </c>
      <c r="B8" s="57"/>
      <c r="C8" s="58"/>
      <c r="D8" s="58"/>
      <c r="E8" s="69">
        <f>D5</f>
        <v>165</v>
      </c>
      <c r="F8" s="58"/>
      <c r="G8" s="69" t="s">
        <v>193</v>
      </c>
    </row>
    <row r="9">
      <c r="A9" s="70">
        <v>1.0</v>
      </c>
      <c r="B9" s="9" t="str">
        <f>'Sprint Goals'!B2</f>
        <v>Meeting with industry partner, designing the logo, setting up the project</v>
      </c>
      <c r="C9" s="36"/>
      <c r="D9" s="64">
        <f>sum(D24:D29)</f>
        <v>5</v>
      </c>
      <c r="E9" s="64">
        <f>$D$5-D9</f>
        <v>160</v>
      </c>
      <c r="F9" s="64">
        <f>sum(F24:F29)</f>
        <v>5</v>
      </c>
      <c r="G9" s="64">
        <f>F5-F9</f>
        <v>177</v>
      </c>
    </row>
    <row r="10">
      <c r="A10" s="68">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8"/>
      <c r="D10" s="71">
        <f>sum(D31:D33)</f>
        <v>19</v>
      </c>
      <c r="E10" s="71">
        <f t="shared" ref="E10:E19" si="2">E9-D10</f>
        <v>141</v>
      </c>
      <c r="F10" s="71">
        <f>sum(F31:F34)</f>
        <v>39</v>
      </c>
      <c r="G10" s="71">
        <f t="shared" ref="G10:G19" si="3">G9-F10</f>
        <v>138</v>
      </c>
    </row>
    <row r="11">
      <c r="A11" s="70">
        <f t="shared" si="1"/>
        <v>3</v>
      </c>
      <c r="B11" s="9" t="str">
        <f>'Sprint Goals'!B4</f>
        <v>Creating a basic demo to be shown to Dr. Kaiser. Starting with simple views, database and llm communication</v>
      </c>
      <c r="C11" s="36"/>
      <c r="D11" s="64">
        <f>sum(D36:D41)</f>
        <v>22</v>
      </c>
      <c r="E11" s="64">
        <f t="shared" si="2"/>
        <v>119</v>
      </c>
      <c r="F11" s="64">
        <f>sum(F37:F41)</f>
        <v>22</v>
      </c>
      <c r="G11" s="71">
        <f t="shared" si="3"/>
        <v>116</v>
      </c>
    </row>
    <row r="12">
      <c r="A12" s="68">
        <v>4.0</v>
      </c>
      <c r="B12" s="9" t="str">
        <f>'Sprint Goals'!B5</f>
        <v>Creating the first version of the frontend, finishing up the basic demo of the backend. Adding a Readme and writting a proper Build script.</v>
      </c>
      <c r="C12" s="58"/>
      <c r="D12" s="58">
        <f>SUM(D44:D48)</f>
        <v>10</v>
      </c>
      <c r="E12" s="64">
        <f t="shared" si="2"/>
        <v>109</v>
      </c>
      <c r="F12" s="58">
        <f>sum(F44:F48)</f>
        <v>13</v>
      </c>
      <c r="G12" s="71">
        <f t="shared" si="3"/>
        <v>103</v>
      </c>
    </row>
    <row r="13">
      <c r="A13" s="70">
        <f t="shared" ref="A13:A14" si="4">A12+1</f>
        <v>5</v>
      </c>
      <c r="B13" s="9" t="str">
        <f>'Sprint Goals'!B6</f>
        <v>Closing up all features from previous sprints, finalizing the frontend so that we have a working demo for Industry Partner.</v>
      </c>
      <c r="C13" s="36"/>
      <c r="D13" s="36">
        <f>sum(D51:D54)</f>
        <v>19</v>
      </c>
      <c r="E13" s="64">
        <f t="shared" si="2"/>
        <v>90</v>
      </c>
      <c r="F13" s="36">
        <f>sum(F51:F54)</f>
        <v>19</v>
      </c>
      <c r="G13" s="71">
        <f t="shared" si="3"/>
        <v>84</v>
      </c>
    </row>
    <row r="14">
      <c r="A14" s="70">
        <f t="shared" si="4"/>
        <v>6</v>
      </c>
      <c r="B14" s="9" t="str">
        <f>'Sprint Goals'!B7</f>
        <v>Working on the thematic analysis logic for the mid project release</v>
      </c>
      <c r="C14" s="36"/>
      <c r="D14" s="32">
        <f>sum(D57)</f>
        <v>5</v>
      </c>
      <c r="E14" s="32">
        <f t="shared" si="2"/>
        <v>85</v>
      </c>
      <c r="F14" s="36">
        <f>sum(F57)</f>
        <v>5</v>
      </c>
      <c r="G14" s="71">
        <f t="shared" si="3"/>
        <v>79</v>
      </c>
    </row>
    <row r="15">
      <c r="A15" s="87">
        <v>7.0</v>
      </c>
      <c r="B15" s="9" t="str">
        <f>'Sprint Goals'!B8</f>
        <v>Finishing work of Sprint 6. Refactoring and Optimization</v>
      </c>
      <c r="C15" s="36"/>
      <c r="D15" s="36">
        <f>sum(D60:D63)</f>
        <v>9</v>
      </c>
      <c r="E15" s="32">
        <f t="shared" si="2"/>
        <v>76</v>
      </c>
      <c r="F15" s="36">
        <f>SUM(F60:F64)</f>
        <v>11</v>
      </c>
      <c r="G15" s="71">
        <f t="shared" si="3"/>
        <v>68</v>
      </c>
    </row>
    <row r="16">
      <c r="A16" s="87">
        <v>8.0</v>
      </c>
      <c r="B16" s="9" t="str">
        <f>'Sprint Goals'!B9</f>
        <v>Start on Apply codebook to Corpus</v>
      </c>
      <c r="C16" s="36"/>
      <c r="D16" s="36">
        <f>SUM(D67:D70)</f>
        <v>12</v>
      </c>
      <c r="E16" s="32">
        <f t="shared" si="2"/>
        <v>64</v>
      </c>
      <c r="F16" s="36">
        <f>SUM(F67:F70)</f>
        <v>10</v>
      </c>
      <c r="G16" s="71">
        <f t="shared" si="3"/>
        <v>58</v>
      </c>
    </row>
    <row r="17">
      <c r="A17" s="87">
        <v>9.0</v>
      </c>
      <c r="B17" s="9" t="str">
        <f>'Sprint Goals'!B10</f>
        <v>Finish Apply Codeboook to Corpus and other minor issues</v>
      </c>
      <c r="C17" s="36"/>
      <c r="D17" s="36">
        <f>SUM(D73:D79)</f>
        <v>27</v>
      </c>
      <c r="E17" s="32">
        <f t="shared" si="2"/>
        <v>37</v>
      </c>
      <c r="F17" s="36">
        <f>SUM(F73:F79)</f>
        <v>27</v>
      </c>
      <c r="G17" s="71">
        <f t="shared" si="3"/>
        <v>31</v>
      </c>
    </row>
    <row r="18">
      <c r="A18" s="87">
        <v>10.0</v>
      </c>
      <c r="B18" s="9" t="str">
        <f>'Sprint Goals'!B11</f>
        <v>Focus on displaying all of the transcripts for a particular theme and adding external API Support. Minor fixes requested by Dr.Kaiser</v>
      </c>
      <c r="C18" s="36"/>
      <c r="D18" s="36">
        <f>SUM(D82:D88)</f>
        <v>28</v>
      </c>
      <c r="E18" s="32">
        <f t="shared" si="2"/>
        <v>9</v>
      </c>
      <c r="F18" s="36">
        <f>SUM(F82:F88)</f>
        <v>22</v>
      </c>
      <c r="G18" s="36">
        <f t="shared" si="3"/>
        <v>9</v>
      </c>
    </row>
    <row r="19">
      <c r="A19" s="87">
        <v>11.0</v>
      </c>
      <c r="B19" s="9" t="str">
        <f>'Sprint Goals'!B12</f>
        <v>Finish Analysis Visualization, Integrate incremental Codebook Generation and Application</v>
      </c>
      <c r="C19" s="36"/>
      <c r="D19" s="36">
        <f>SUM(D91:D95)</f>
        <v>9</v>
      </c>
      <c r="E19" s="36">
        <f t="shared" si="2"/>
        <v>0</v>
      </c>
      <c r="F19" s="36">
        <f>SUM(F91:F95)</f>
        <v>9</v>
      </c>
      <c r="G19" s="36">
        <f t="shared" si="3"/>
        <v>0</v>
      </c>
    </row>
    <row r="20">
      <c r="A20" s="70"/>
      <c r="B20" s="9" t="str">
        <f>'Sprint Goals'!B13</f>
        <v/>
      </c>
      <c r="C20" s="36"/>
      <c r="D20" s="36"/>
      <c r="E20" s="36"/>
      <c r="F20" s="36"/>
      <c r="G20" s="36"/>
    </row>
    <row r="21">
      <c r="A21" s="70"/>
      <c r="B21" s="9" t="str">
        <f>'Sprint Goals'!B14</f>
        <v/>
      </c>
      <c r="C21" s="36"/>
      <c r="D21" s="36"/>
      <c r="E21" s="36"/>
      <c r="F21" s="36"/>
      <c r="G21" s="36"/>
    </row>
    <row r="22">
      <c r="A22" s="72" t="s">
        <v>194</v>
      </c>
      <c r="B22" s="73"/>
      <c r="C22" s="74"/>
      <c r="D22" s="74"/>
      <c r="E22" s="74"/>
      <c r="F22" s="74"/>
      <c r="G22" s="74"/>
    </row>
    <row r="23">
      <c r="A23" s="70"/>
      <c r="B23" s="62"/>
      <c r="C23" s="36"/>
      <c r="D23" s="36"/>
      <c r="E23" s="36"/>
      <c r="F23" s="36"/>
      <c r="G23" s="36"/>
    </row>
    <row r="24">
      <c r="A24" s="75">
        <f t="shared" ref="A24:B24" si="5">A9</f>
        <v>1</v>
      </c>
      <c r="B24" s="76" t="str">
        <f t="shared" si="5"/>
        <v>Meeting with industry partner, designing the logo, setting up the project</v>
      </c>
      <c r="C24" s="58"/>
      <c r="D24" s="58"/>
      <c r="E24" s="58"/>
      <c r="F24" s="58"/>
      <c r="G24" s="58"/>
    </row>
    <row r="25">
      <c r="A25" s="70"/>
      <c r="B25" s="77"/>
      <c r="C25" s="32" t="s">
        <v>195</v>
      </c>
      <c r="D25" s="32">
        <v>5.0</v>
      </c>
      <c r="E25" s="36"/>
      <c r="F25" s="32">
        <v>5.0</v>
      </c>
      <c r="G25" s="36"/>
    </row>
    <row r="26">
      <c r="A26" s="56"/>
      <c r="B26" s="57"/>
      <c r="C26" s="78"/>
      <c r="D26" s="79"/>
      <c r="E26" s="57"/>
      <c r="F26" s="79"/>
      <c r="G26" s="57"/>
    </row>
    <row r="27">
      <c r="A27" s="70"/>
      <c r="B27" s="77"/>
      <c r="C27" s="36"/>
      <c r="D27" s="64"/>
      <c r="E27" s="36"/>
      <c r="F27" s="64"/>
      <c r="G27" s="36"/>
    </row>
    <row r="28">
      <c r="A28" s="80"/>
      <c r="B28" s="78"/>
      <c r="C28" s="78"/>
      <c r="D28" s="71"/>
      <c r="E28" s="78"/>
      <c r="F28" s="71"/>
      <c r="G28" s="78"/>
    </row>
    <row r="29">
      <c r="A29" s="70"/>
      <c r="B29" s="77"/>
      <c r="C29" s="36"/>
      <c r="D29" s="64"/>
      <c r="E29" s="36"/>
      <c r="F29" s="64"/>
      <c r="G29" s="36"/>
    </row>
    <row r="30">
      <c r="A30" s="75">
        <f t="shared" ref="A30:B30" si="6">A10</f>
        <v>2</v>
      </c>
      <c r="B30" s="76" t="str">
        <f t="shared" si="6"/>
        <v>Ingesting the interview dataset provided by the industry partner, working on the Architecture Description document, and delivering a first prototype that successfully passes text through a basic LLM endpoint.</v>
      </c>
      <c r="C30" s="58"/>
      <c r="D30" s="58"/>
      <c r="E30" s="58"/>
      <c r="F30" s="58"/>
      <c r="G30" s="58"/>
    </row>
    <row r="31">
      <c r="A31" s="70"/>
      <c r="B31" s="77"/>
      <c r="C31" s="32" t="s">
        <v>196</v>
      </c>
      <c r="D31" s="32">
        <v>3.0</v>
      </c>
      <c r="E31" s="36"/>
      <c r="F31" s="32">
        <v>5.0</v>
      </c>
      <c r="G31" s="36"/>
    </row>
    <row r="32">
      <c r="A32" s="80"/>
      <c r="B32" s="78"/>
      <c r="C32" s="46" t="s">
        <v>197</v>
      </c>
      <c r="D32" s="81">
        <v>8.0</v>
      </c>
      <c r="E32" s="78"/>
      <c r="F32" s="81">
        <v>13.0</v>
      </c>
      <c r="G32" s="78"/>
    </row>
    <row r="33">
      <c r="A33" s="70"/>
      <c r="B33" s="77"/>
      <c r="C33" s="32" t="s">
        <v>198</v>
      </c>
      <c r="D33" s="82">
        <v>8.0</v>
      </c>
      <c r="E33" s="36"/>
      <c r="F33" s="82">
        <v>13.0</v>
      </c>
      <c r="G33" s="36"/>
    </row>
    <row r="34">
      <c r="A34" s="80"/>
      <c r="B34" s="78"/>
      <c r="C34" s="46" t="s">
        <v>199</v>
      </c>
      <c r="D34" s="81">
        <v>8.0</v>
      </c>
      <c r="E34" s="78"/>
      <c r="F34" s="81">
        <v>8.0</v>
      </c>
      <c r="G34" s="78"/>
    </row>
    <row r="35">
      <c r="A35" s="70"/>
      <c r="B35" s="77"/>
      <c r="C35" s="36"/>
      <c r="D35" s="64"/>
      <c r="E35" s="36"/>
      <c r="F35" s="64"/>
      <c r="G35" s="36"/>
    </row>
    <row r="36">
      <c r="A36" s="75">
        <f t="shared" ref="A36:B36" si="7">A11</f>
        <v>3</v>
      </c>
      <c r="B36" s="76" t="str">
        <f t="shared" si="7"/>
        <v>Creating a basic demo to be shown to Dr. Kaiser. Starting with simple views, database and llm communication</v>
      </c>
      <c r="C36" s="58"/>
      <c r="D36" s="58"/>
      <c r="E36" s="58"/>
      <c r="F36" s="58"/>
      <c r="G36" s="58"/>
    </row>
    <row r="37">
      <c r="A37" s="70"/>
      <c r="B37" s="77"/>
      <c r="C37" s="32" t="s">
        <v>200</v>
      </c>
      <c r="D37" s="32">
        <v>5.0</v>
      </c>
      <c r="E37" s="36"/>
      <c r="F37" s="32">
        <v>5.0</v>
      </c>
      <c r="G37" s="36"/>
    </row>
    <row r="38">
      <c r="A38" s="80"/>
      <c r="B38" s="78"/>
      <c r="C38" s="46" t="s">
        <v>201</v>
      </c>
      <c r="D38" s="81">
        <v>8.0</v>
      </c>
      <c r="E38" s="78"/>
      <c r="F38" s="46">
        <v>8.0</v>
      </c>
      <c r="G38" s="78"/>
    </row>
    <row r="39">
      <c r="A39" s="70"/>
      <c r="B39" s="77"/>
      <c r="C39" s="32" t="s">
        <v>202</v>
      </c>
      <c r="D39" s="82">
        <v>1.0</v>
      </c>
      <c r="E39" s="36"/>
      <c r="F39" s="32">
        <v>1.0</v>
      </c>
      <c r="G39" s="36"/>
    </row>
    <row r="40">
      <c r="A40" s="80"/>
      <c r="B40" s="78"/>
      <c r="C40" s="30" t="s">
        <v>203</v>
      </c>
      <c r="D40" s="81">
        <v>3.0</v>
      </c>
      <c r="E40" s="78"/>
      <c r="F40" s="46">
        <v>3.0</v>
      </c>
      <c r="G40" s="78"/>
    </row>
    <row r="41">
      <c r="A41" s="80"/>
      <c r="B41" s="78"/>
      <c r="C41" s="30" t="s">
        <v>204</v>
      </c>
      <c r="D41" s="81">
        <v>5.0</v>
      </c>
      <c r="E41" s="78"/>
      <c r="F41" s="46">
        <v>5.0</v>
      </c>
      <c r="G41" s="78"/>
    </row>
    <row r="42">
      <c r="A42" s="80"/>
      <c r="B42" s="78"/>
      <c r="C42" s="58"/>
      <c r="D42" s="71"/>
      <c r="E42" s="78"/>
      <c r="F42" s="78"/>
      <c r="G42" s="78"/>
    </row>
    <row r="43">
      <c r="A43" s="75">
        <f t="shared" ref="A43:B43" si="8">A12</f>
        <v>4</v>
      </c>
      <c r="B43" s="76" t="str">
        <f t="shared" si="8"/>
        <v>Creating the first version of the frontend, finishing up the basic demo of the backend. Adding a Readme and writting a proper Build script.</v>
      </c>
      <c r="C43" s="58"/>
      <c r="D43" s="71"/>
      <c r="E43" s="78"/>
      <c r="F43" s="78"/>
      <c r="G43" s="78"/>
    </row>
    <row r="44">
      <c r="A44" s="80"/>
      <c r="B44" s="78"/>
      <c r="C44" s="30" t="s">
        <v>205</v>
      </c>
      <c r="D44" s="81">
        <v>3.0</v>
      </c>
      <c r="E44" s="78"/>
      <c r="F44" s="46">
        <v>3.0</v>
      </c>
      <c r="G44" s="78"/>
    </row>
    <row r="45">
      <c r="A45" s="80"/>
      <c r="B45" s="78"/>
      <c r="C45" s="30" t="s">
        <v>206</v>
      </c>
      <c r="D45" s="81">
        <v>3.0</v>
      </c>
      <c r="E45" s="78"/>
      <c r="F45" s="46">
        <v>3.0</v>
      </c>
      <c r="G45" s="78"/>
    </row>
    <row r="46">
      <c r="A46" s="80"/>
      <c r="B46" s="78"/>
      <c r="C46" s="83" t="s">
        <v>222</v>
      </c>
      <c r="D46" s="81">
        <v>1.0</v>
      </c>
      <c r="E46" s="78"/>
      <c r="F46" s="46">
        <v>1.0</v>
      </c>
      <c r="G46" s="78"/>
    </row>
    <row r="47">
      <c r="A47" s="80"/>
      <c r="B47" s="78"/>
      <c r="C47" s="30" t="s">
        <v>208</v>
      </c>
      <c r="D47" s="81">
        <v>1.0</v>
      </c>
      <c r="E47" s="78"/>
      <c r="F47" s="46">
        <v>3.0</v>
      </c>
      <c r="G47" s="78"/>
    </row>
    <row r="48">
      <c r="A48" s="80"/>
      <c r="B48" s="78"/>
      <c r="C48" s="30" t="s">
        <v>209</v>
      </c>
      <c r="D48" s="81">
        <v>2.0</v>
      </c>
      <c r="E48" s="78"/>
      <c r="F48" s="46">
        <v>3.0</v>
      </c>
      <c r="G48" s="78"/>
    </row>
    <row r="49">
      <c r="B49" s="78"/>
      <c r="C49" s="58"/>
      <c r="D49" s="71"/>
      <c r="E49" s="78"/>
      <c r="F49" s="78"/>
      <c r="G49" s="78"/>
    </row>
    <row r="50">
      <c r="A50" s="75">
        <f t="shared" ref="A50:B50" si="9">A13</f>
        <v>5</v>
      </c>
      <c r="B50" s="76" t="str">
        <f t="shared" si="9"/>
        <v>Closing up all features from previous sprints, finalizing the frontend so that we have a working demo for Industry Partner.</v>
      </c>
      <c r="C50" s="58"/>
      <c r="D50" s="71"/>
      <c r="E50" s="78"/>
      <c r="F50" s="78"/>
      <c r="G50" s="78"/>
    </row>
    <row r="51">
      <c r="A51" s="80"/>
      <c r="B51" s="78"/>
      <c r="C51" s="30" t="s">
        <v>210</v>
      </c>
      <c r="D51" s="81">
        <v>8.0</v>
      </c>
      <c r="E51" s="78"/>
      <c r="F51" s="46">
        <v>8.0</v>
      </c>
      <c r="G51" s="78"/>
    </row>
    <row r="52">
      <c r="A52" s="80"/>
      <c r="B52" s="78"/>
      <c r="C52" s="30" t="s">
        <v>211</v>
      </c>
      <c r="D52" s="81">
        <v>5.0</v>
      </c>
      <c r="E52" s="78"/>
      <c r="F52" s="46">
        <v>3.0</v>
      </c>
      <c r="G52" s="78"/>
    </row>
    <row r="53">
      <c r="A53" s="80"/>
      <c r="B53" s="78"/>
      <c r="C53" s="30" t="s">
        <v>212</v>
      </c>
      <c r="D53" s="81">
        <v>3.0</v>
      </c>
      <c r="E53" s="78"/>
      <c r="F53" s="46">
        <v>3.0</v>
      </c>
      <c r="G53" s="78"/>
    </row>
    <row r="54">
      <c r="A54" s="58"/>
      <c r="B54" s="58"/>
      <c r="C54" s="30" t="s">
        <v>213</v>
      </c>
      <c r="D54" s="30">
        <v>3.0</v>
      </c>
      <c r="E54" s="58"/>
      <c r="F54" s="46">
        <v>5.0</v>
      </c>
      <c r="G54" s="78"/>
    </row>
    <row r="55">
      <c r="A55" s="58"/>
      <c r="B55" s="58"/>
      <c r="C55" s="58"/>
      <c r="D55" s="58"/>
      <c r="E55" s="58"/>
      <c r="F55" s="36"/>
      <c r="G55" s="36"/>
    </row>
    <row r="56">
      <c r="A56" s="84">
        <f t="shared" ref="A56:B56" si="10">A14</f>
        <v>6</v>
      </c>
      <c r="B56" s="76" t="str">
        <f t="shared" si="10"/>
        <v>Working on the thematic analysis logic for the mid project release</v>
      </c>
      <c r="C56" s="58"/>
      <c r="D56" s="58"/>
      <c r="F56" s="58"/>
      <c r="G56" s="58"/>
    </row>
    <row r="57">
      <c r="A57" s="80"/>
      <c r="B57" s="78"/>
      <c r="C57" s="30" t="s">
        <v>214</v>
      </c>
      <c r="D57" s="30">
        <v>5.0</v>
      </c>
      <c r="E57" s="58"/>
      <c r="F57" s="30">
        <v>5.0</v>
      </c>
      <c r="G57" s="58"/>
    </row>
    <row r="58">
      <c r="A58" s="80"/>
      <c r="B58" s="78"/>
      <c r="C58" s="30"/>
      <c r="D58" s="30"/>
      <c r="E58" s="58"/>
      <c r="F58" s="58"/>
      <c r="G58" s="58"/>
    </row>
    <row r="59">
      <c r="A59" s="84">
        <v>7.0</v>
      </c>
      <c r="B59" s="88" t="str">
        <f>B15</f>
        <v>Finishing work of Sprint 6. Refactoring and Optimization</v>
      </c>
      <c r="C59" s="30"/>
      <c r="D59" s="30"/>
      <c r="E59" s="58"/>
      <c r="F59" s="58"/>
      <c r="G59" s="58"/>
    </row>
    <row r="60">
      <c r="A60" s="80"/>
      <c r="B60" s="78"/>
      <c r="C60" s="30" t="s">
        <v>215</v>
      </c>
      <c r="D60" s="30">
        <v>2.0</v>
      </c>
      <c r="E60" s="58"/>
      <c r="F60" s="30">
        <v>2.0</v>
      </c>
      <c r="G60" s="58"/>
    </row>
    <row r="61">
      <c r="A61" s="80"/>
      <c r="B61" s="78"/>
      <c r="C61" s="30" t="s">
        <v>216</v>
      </c>
      <c r="D61" s="30">
        <v>2.0</v>
      </c>
      <c r="E61" s="58"/>
      <c r="F61" s="30">
        <v>2.0</v>
      </c>
      <c r="G61" s="58"/>
    </row>
    <row r="62">
      <c r="A62" s="80"/>
      <c r="B62" s="78"/>
      <c r="C62" s="30" t="s">
        <v>217</v>
      </c>
      <c r="D62" s="23">
        <v>3.0</v>
      </c>
      <c r="E62" s="58"/>
      <c r="F62" s="30">
        <v>3.0</v>
      </c>
      <c r="G62" s="58"/>
    </row>
    <row r="63">
      <c r="A63" s="80"/>
      <c r="B63" s="78"/>
      <c r="C63" s="30" t="s">
        <v>218</v>
      </c>
      <c r="D63" s="30">
        <v>2.0</v>
      </c>
      <c r="E63" s="58"/>
      <c r="F63" s="30">
        <v>2.0</v>
      </c>
      <c r="G63" s="58"/>
    </row>
    <row r="64">
      <c r="A64" s="80"/>
      <c r="B64" s="78"/>
      <c r="C64" s="23" t="s">
        <v>223</v>
      </c>
      <c r="D64" s="23">
        <v>2.0</v>
      </c>
      <c r="E64" s="58"/>
      <c r="F64" s="30">
        <v>2.0</v>
      </c>
      <c r="G64" s="58"/>
    </row>
    <row r="65">
      <c r="A65" s="80"/>
      <c r="B65" s="78"/>
      <c r="E65" s="58"/>
      <c r="F65" s="58"/>
      <c r="G65" s="58"/>
    </row>
    <row r="66">
      <c r="A66" s="84">
        <v>8.0</v>
      </c>
      <c r="B66" s="88" t="str">
        <f>'Sprint Goals'!B9</f>
        <v>Start on Apply codebook to Corpus</v>
      </c>
      <c r="C66" s="34"/>
      <c r="D66" s="30"/>
      <c r="E66" s="58"/>
      <c r="F66" s="58"/>
      <c r="G66" s="58"/>
    </row>
    <row r="67">
      <c r="A67" s="80"/>
      <c r="B67" s="78"/>
      <c r="C67" s="30" t="s">
        <v>224</v>
      </c>
      <c r="D67" s="30">
        <v>3.0</v>
      </c>
      <c r="E67" s="58"/>
      <c r="F67" s="30">
        <v>2.0</v>
      </c>
      <c r="G67" s="58"/>
    </row>
    <row r="68">
      <c r="A68" s="80"/>
      <c r="B68" s="78"/>
      <c r="C68" s="30" t="s">
        <v>225</v>
      </c>
      <c r="D68" s="30">
        <v>3.0</v>
      </c>
      <c r="E68" s="58"/>
      <c r="F68" s="30">
        <v>2.0</v>
      </c>
      <c r="G68" s="58"/>
    </row>
    <row r="69">
      <c r="A69" s="80"/>
      <c r="B69" s="78"/>
      <c r="C69" s="30" t="s">
        <v>226</v>
      </c>
      <c r="D69" s="30">
        <v>3.0</v>
      </c>
      <c r="E69" s="58"/>
      <c r="F69" s="30">
        <v>3.0</v>
      </c>
      <c r="G69" s="58"/>
    </row>
    <row r="70">
      <c r="A70" s="80"/>
      <c r="B70" s="78"/>
      <c r="C70" s="30" t="s">
        <v>227</v>
      </c>
      <c r="D70" s="30">
        <v>3.0</v>
      </c>
      <c r="E70" s="58"/>
      <c r="F70" s="30">
        <v>3.0</v>
      </c>
      <c r="G70" s="58"/>
    </row>
    <row r="71">
      <c r="A71" s="80"/>
      <c r="B71" s="78"/>
      <c r="C71" s="58"/>
      <c r="D71" s="58"/>
      <c r="E71" s="58"/>
      <c r="F71" s="58"/>
      <c r="G71" s="58"/>
    </row>
    <row r="72">
      <c r="A72" s="84">
        <v>9.0</v>
      </c>
      <c r="B72" s="76" t="str">
        <f>'Sprint Goals'!B10</f>
        <v>Finish Apply Codeboook to Corpus and other minor issues</v>
      </c>
      <c r="C72" s="58"/>
      <c r="D72" s="58"/>
      <c r="E72" s="58"/>
      <c r="F72" s="58"/>
      <c r="G72" s="58"/>
    </row>
    <row r="73">
      <c r="A73" s="80"/>
      <c r="B73" s="78"/>
      <c r="C73" s="30" t="s">
        <v>228</v>
      </c>
      <c r="D73" s="30">
        <v>8.0</v>
      </c>
      <c r="E73" s="58"/>
      <c r="F73" s="30">
        <v>8.0</v>
      </c>
      <c r="G73" s="58"/>
    </row>
    <row r="74">
      <c r="A74" s="80"/>
      <c r="B74" s="78"/>
      <c r="C74" s="30" t="s">
        <v>229</v>
      </c>
      <c r="D74" s="30">
        <v>3.0</v>
      </c>
      <c r="E74" s="58"/>
      <c r="F74" s="30">
        <v>3.0</v>
      </c>
      <c r="G74" s="58"/>
    </row>
    <row r="75">
      <c r="A75" s="80"/>
      <c r="B75" s="78"/>
      <c r="C75" s="30" t="s">
        <v>230</v>
      </c>
      <c r="D75" s="30">
        <v>5.0</v>
      </c>
      <c r="E75" s="58"/>
      <c r="F75" s="30">
        <v>5.0</v>
      </c>
      <c r="G75" s="58"/>
    </row>
    <row r="76">
      <c r="A76" s="80"/>
      <c r="B76" s="78"/>
      <c r="C76" s="30" t="s">
        <v>231</v>
      </c>
      <c r="D76" s="30">
        <v>3.0</v>
      </c>
      <c r="E76" s="58"/>
      <c r="F76" s="30">
        <v>3.0</v>
      </c>
      <c r="G76" s="58"/>
    </row>
    <row r="77">
      <c r="A77" s="80"/>
      <c r="B77" s="78"/>
      <c r="C77" s="30" t="s">
        <v>232</v>
      </c>
      <c r="D77" s="30">
        <v>3.0</v>
      </c>
      <c r="E77" s="58"/>
      <c r="F77" s="30">
        <v>3.0</v>
      </c>
      <c r="G77" s="58"/>
    </row>
    <row r="78">
      <c r="A78" s="80"/>
      <c r="B78" s="78"/>
      <c r="C78" s="30" t="s">
        <v>233</v>
      </c>
      <c r="D78" s="30">
        <v>3.0</v>
      </c>
      <c r="E78" s="58"/>
      <c r="F78" s="30">
        <v>3.0</v>
      </c>
      <c r="G78" s="58"/>
    </row>
    <row r="79">
      <c r="A79" s="80"/>
      <c r="B79" s="78"/>
      <c r="C79" s="30" t="s">
        <v>234</v>
      </c>
      <c r="D79" s="30">
        <v>2.0</v>
      </c>
      <c r="E79" s="58"/>
      <c r="F79" s="30">
        <v>2.0</v>
      </c>
      <c r="G79" s="58"/>
    </row>
    <row r="80">
      <c r="A80" s="80"/>
      <c r="B80" s="78"/>
      <c r="C80" s="58"/>
      <c r="D80" s="58"/>
      <c r="E80" s="58"/>
      <c r="F80" s="58"/>
      <c r="G80" s="58"/>
    </row>
    <row r="81">
      <c r="A81" s="84">
        <v>10.0</v>
      </c>
      <c r="B81" s="76" t="str">
        <f>'Sprint Goals'!B11</f>
        <v>Focus on displaying all of the transcripts for a particular theme and adding external API Support. Minor fixes requested by Dr.Kaiser</v>
      </c>
      <c r="C81" s="58"/>
      <c r="D81" s="58"/>
      <c r="E81" s="58"/>
      <c r="F81" s="58"/>
      <c r="G81" s="58"/>
    </row>
    <row r="82">
      <c r="A82" s="80"/>
      <c r="B82" s="78"/>
      <c r="C82" s="30" t="s">
        <v>235</v>
      </c>
      <c r="D82" s="30">
        <v>5.0</v>
      </c>
      <c r="E82" s="58"/>
      <c r="F82" s="30">
        <v>5.0</v>
      </c>
      <c r="G82" s="58"/>
    </row>
    <row r="83">
      <c r="A83" s="80"/>
      <c r="B83" s="78"/>
      <c r="C83" s="30" t="s">
        <v>236</v>
      </c>
      <c r="D83" s="30">
        <v>3.0</v>
      </c>
      <c r="E83" s="58"/>
      <c r="F83" s="30">
        <v>1.0</v>
      </c>
      <c r="G83" s="58"/>
    </row>
    <row r="84">
      <c r="A84" s="80"/>
      <c r="B84" s="78"/>
      <c r="C84" s="30" t="s">
        <v>237</v>
      </c>
      <c r="D84" s="30">
        <v>3.0</v>
      </c>
      <c r="E84" s="58"/>
      <c r="F84" s="30">
        <v>5.0</v>
      </c>
      <c r="G84" s="58"/>
    </row>
    <row r="85">
      <c r="A85" s="80"/>
      <c r="B85" s="78"/>
      <c r="C85" s="30" t="s">
        <v>238</v>
      </c>
      <c r="D85" s="30">
        <v>5.0</v>
      </c>
      <c r="E85" s="58"/>
      <c r="F85" s="30">
        <v>3.0</v>
      </c>
      <c r="G85" s="58"/>
    </row>
    <row r="86">
      <c r="A86" s="80"/>
      <c r="B86" s="78"/>
      <c r="C86" s="30" t="s">
        <v>239</v>
      </c>
      <c r="D86" s="30">
        <v>2.0</v>
      </c>
      <c r="E86" s="58"/>
      <c r="F86" s="30">
        <v>1.0</v>
      </c>
      <c r="G86" s="58"/>
    </row>
    <row r="87">
      <c r="A87" s="80"/>
      <c r="B87" s="78"/>
      <c r="C87" s="30" t="s">
        <v>240</v>
      </c>
      <c r="D87" s="30">
        <v>2.0</v>
      </c>
      <c r="E87" s="58"/>
      <c r="F87" s="30">
        <v>2.0</v>
      </c>
      <c r="G87" s="58"/>
    </row>
    <row r="88">
      <c r="A88" s="80"/>
      <c r="B88" s="78"/>
      <c r="C88" s="30" t="s">
        <v>241</v>
      </c>
      <c r="D88" s="30">
        <v>8.0</v>
      </c>
      <c r="E88" s="58"/>
      <c r="F88" s="30">
        <v>5.0</v>
      </c>
      <c r="G88" s="58"/>
    </row>
    <row r="89">
      <c r="A89" s="80"/>
      <c r="B89" s="78"/>
      <c r="C89" s="58"/>
      <c r="D89" s="58"/>
      <c r="E89" s="58"/>
      <c r="F89" s="58"/>
      <c r="G89" s="58"/>
    </row>
    <row r="90">
      <c r="A90" s="84">
        <v>11.0</v>
      </c>
      <c r="B90" s="88" t="str">
        <f>'Sprint Goals'!B12</f>
        <v>Finish Analysis Visualization, Integrate incremental Codebook Generation and Application</v>
      </c>
      <c r="C90" s="58"/>
      <c r="D90" s="58"/>
      <c r="E90" s="58"/>
      <c r="F90" s="58"/>
      <c r="G90" s="58"/>
    </row>
    <row r="91">
      <c r="A91" s="80"/>
      <c r="B91" s="78"/>
      <c r="C91" s="30" t="s">
        <v>242</v>
      </c>
      <c r="D91" s="30">
        <v>3.0</v>
      </c>
      <c r="E91" s="58"/>
      <c r="F91" s="30">
        <v>3.0</v>
      </c>
      <c r="G91" s="58"/>
    </row>
    <row r="92">
      <c r="A92" s="80"/>
      <c r="B92" s="78"/>
      <c r="C92" s="30" t="s">
        <v>243</v>
      </c>
      <c r="D92" s="30">
        <v>2.0</v>
      </c>
      <c r="E92" s="58"/>
      <c r="F92" s="30">
        <v>2.0</v>
      </c>
      <c r="G92" s="58"/>
    </row>
    <row r="93">
      <c r="A93" s="80"/>
      <c r="B93" s="78"/>
      <c r="C93" s="30" t="s">
        <v>244</v>
      </c>
      <c r="D93" s="30">
        <v>2.0</v>
      </c>
      <c r="E93" s="58"/>
      <c r="F93" s="30">
        <v>2.0</v>
      </c>
      <c r="G93" s="58"/>
    </row>
    <row r="94">
      <c r="A94" s="80"/>
      <c r="B94" s="78"/>
      <c r="C94" s="30" t="s">
        <v>245</v>
      </c>
      <c r="D94" s="58"/>
      <c r="E94" s="58"/>
      <c r="F94" s="58"/>
      <c r="G94" s="58"/>
    </row>
    <row r="95">
      <c r="A95" s="80"/>
      <c r="B95" s="78"/>
      <c r="C95" s="30" t="s">
        <v>246</v>
      </c>
      <c r="D95" s="30">
        <v>2.0</v>
      </c>
      <c r="E95" s="58"/>
      <c r="F95" s="30">
        <v>2.0</v>
      </c>
      <c r="G95" s="58"/>
    </row>
    <row r="96">
      <c r="A96" s="80"/>
      <c r="B96" s="78"/>
      <c r="C96" s="58"/>
      <c r="D96" s="58"/>
      <c r="E96" s="58"/>
      <c r="F96" s="58"/>
      <c r="G96" s="58"/>
    </row>
    <row r="97">
      <c r="A97" s="80"/>
      <c r="B97" s="78"/>
      <c r="C97" s="58"/>
      <c r="D97" s="58"/>
      <c r="E97" s="58"/>
      <c r="F97" s="58"/>
      <c r="G97" s="58"/>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9">
      <c r="C9" s="86">
        <f>average('Velocity Tracking'!B2:B14)</f>
        <v>16.54545455</v>
      </c>
    </row>
    <row r="10">
      <c r="C10" s="85">
        <f t="shared" ref="C10:C21" si="1">C9</f>
        <v>16.54545455</v>
      </c>
    </row>
    <row r="11">
      <c r="C11" s="85">
        <f t="shared" si="1"/>
        <v>16.54545455</v>
      </c>
    </row>
    <row r="12">
      <c r="C12" s="85">
        <f t="shared" si="1"/>
        <v>16.54545455</v>
      </c>
    </row>
    <row r="13">
      <c r="C13" s="85">
        <f t="shared" si="1"/>
        <v>16.54545455</v>
      </c>
    </row>
    <row r="14">
      <c r="C14" s="85">
        <f t="shared" si="1"/>
        <v>16.54545455</v>
      </c>
    </row>
    <row r="15">
      <c r="C15" s="85">
        <f t="shared" si="1"/>
        <v>16.54545455</v>
      </c>
    </row>
    <row r="16">
      <c r="C16" s="85">
        <f t="shared" si="1"/>
        <v>16.54545455</v>
      </c>
    </row>
    <row r="17">
      <c r="C17" s="85">
        <f t="shared" si="1"/>
        <v>16.54545455</v>
      </c>
    </row>
    <row r="18">
      <c r="C18" s="85">
        <f t="shared" si="1"/>
        <v>16.54545455</v>
      </c>
    </row>
    <row r="19">
      <c r="C19" s="85">
        <f t="shared" si="1"/>
        <v>16.54545455</v>
      </c>
    </row>
    <row r="20">
      <c r="C20" s="85">
        <f t="shared" si="1"/>
        <v>16.54545455</v>
      </c>
    </row>
    <row r="21">
      <c r="C21" s="85">
        <f t="shared" si="1"/>
        <v>16.54545455</v>
      </c>
    </row>
    <row r="33">
      <c r="A33" s="7" t="s">
        <v>219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7">
      <c r="E7">
        <f>'Final Project Release plan'!D5</f>
        <v>165</v>
      </c>
      <c r="F7">
        <f>E7</f>
        <v>165</v>
      </c>
    </row>
    <row r="8">
      <c r="E8" s="85">
        <f>E7-C26</f>
        <v>148.5</v>
      </c>
      <c r="F8">
        <f>'Final Project Release plan'!E9</f>
        <v>160</v>
      </c>
    </row>
    <row r="9">
      <c r="E9" s="85">
        <f>E8-C26</f>
        <v>132</v>
      </c>
      <c r="F9">
        <f>'Final Project Release plan'!E10</f>
        <v>141</v>
      </c>
    </row>
    <row r="10">
      <c r="E10" s="85">
        <f>E9-C26</f>
        <v>115.5</v>
      </c>
      <c r="F10">
        <f>'Final Project Release plan'!E11</f>
        <v>119</v>
      </c>
    </row>
    <row r="11">
      <c r="E11" s="85">
        <f>E10-C26</f>
        <v>99</v>
      </c>
      <c r="F11">
        <f>'Final Project Release plan'!E12</f>
        <v>109</v>
      </c>
    </row>
    <row r="12">
      <c r="E12" s="85">
        <f>E11-C26</f>
        <v>82.5</v>
      </c>
      <c r="F12">
        <f>'Final Project Release plan'!E13</f>
        <v>90</v>
      </c>
      <c r="P12" s="85"/>
    </row>
    <row r="13">
      <c r="E13" s="86">
        <f>E12-C26</f>
        <v>66</v>
      </c>
      <c r="F13">
        <f>'Final Project Release plan'!E14</f>
        <v>85</v>
      </c>
      <c r="P13" s="85"/>
    </row>
    <row r="14">
      <c r="E14" s="86">
        <f>E13-C26</f>
        <v>49.5</v>
      </c>
      <c r="F14">
        <f>'Final Project Release plan'!E15</f>
        <v>76</v>
      </c>
      <c r="P14" s="85"/>
    </row>
    <row r="15">
      <c r="E15" s="86">
        <f>E14-C26</f>
        <v>33</v>
      </c>
      <c r="F15">
        <f>'Final Project Release plan'!E16</f>
        <v>64</v>
      </c>
      <c r="P15" s="85"/>
    </row>
    <row r="16">
      <c r="E16" s="86">
        <f>E15-C26</f>
        <v>16.5</v>
      </c>
    </row>
    <row r="17">
      <c r="E17" s="86">
        <f>E16-C26</f>
        <v>0</v>
      </c>
    </row>
    <row r="26">
      <c r="B26" s="23" t="s">
        <v>220</v>
      </c>
      <c r="C26" s="85">
        <f>'Final Project Release plan'!D5/'Final Project Release plan'!A18</f>
        <v>16.5</v>
      </c>
      <c r="D26" s="23" t="s">
        <v>221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9" t="s">
        <v>65</v>
      </c>
      <c r="B1" s="53" t="s">
        <v>247</v>
      </c>
      <c r="C1" s="53" t="s">
        <v>248</v>
      </c>
      <c r="D1" s="90" t="s">
        <v>249</v>
      </c>
    </row>
    <row r="2">
      <c r="A2" s="3"/>
      <c r="B2" s="2" t="s">
        <v>250</v>
      </c>
      <c r="C2" s="2" t="s">
        <v>251</v>
      </c>
      <c r="D2" s="23" t="s">
        <v>252</v>
      </c>
    </row>
    <row r="3">
      <c r="A3" s="3"/>
      <c r="B3" s="23" t="s">
        <v>253</v>
      </c>
      <c r="C3" s="23" t="s">
        <v>254</v>
      </c>
      <c r="D3" s="2" t="s">
        <v>255</v>
      </c>
    </row>
    <row r="4">
      <c r="A4" s="3"/>
      <c r="B4" s="23" t="s">
        <v>256</v>
      </c>
      <c r="C4" s="23" t="s">
        <v>257</v>
      </c>
      <c r="D4" s="23" t="s">
        <v>258</v>
      </c>
    </row>
    <row r="5">
      <c r="A5" s="3"/>
      <c r="B5" s="23" t="s">
        <v>259</v>
      </c>
      <c r="C5" s="2" t="s">
        <v>260</v>
      </c>
      <c r="D5" s="23" t="s">
        <v>261</v>
      </c>
    </row>
    <row r="6">
      <c r="A6" s="3"/>
      <c r="B6" s="23" t="s">
        <v>262</v>
      </c>
      <c r="C6" s="23" t="s">
        <v>263</v>
      </c>
      <c r="D6" s="23" t="s">
        <v>264</v>
      </c>
    </row>
    <row r="7">
      <c r="A7" s="3"/>
      <c r="B7" s="23" t="s">
        <v>265</v>
      </c>
      <c r="C7" s="23" t="s">
        <v>266</v>
      </c>
      <c r="D7" s="2" t="s">
        <v>267</v>
      </c>
    </row>
    <row r="8">
      <c r="A8" s="3"/>
      <c r="B8" s="23" t="s">
        <v>268</v>
      </c>
      <c r="C8" s="2" t="s">
        <v>269</v>
      </c>
      <c r="D8" s="2" t="s">
        <v>270</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271</v>
      </c>
      <c r="B1" s="4" t="s">
        <v>272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273</v>
      </c>
      <c r="C1" s="4" t="s">
        <v>274</v>
      </c>
      <c r="D1" s="4" t="s">
        <v>275</v>
      </c>
      <c r="E1" s="4" t="s">
        <v>276</v>
      </c>
      <c r="F1" s="4" t="s">
        <v>72</v>
      </c>
    </row>
    <row r="2">
      <c r="A2" s="91">
        <v>1.0</v>
      </c>
      <c r="B2" s="23" t="s">
        <v>277</v>
      </c>
      <c r="C2" s="23" t="s">
        <v>278</v>
      </c>
      <c r="D2" s="23">
        <v>18.0</v>
      </c>
      <c r="E2" s="23" t="s">
        <v>279</v>
      </c>
      <c r="F2" s="23" t="s">
        <v>280</v>
      </c>
    </row>
    <row r="3">
      <c r="A3" s="91">
        <v>2.0</v>
      </c>
      <c r="B3" s="23" t="s">
        <v>281</v>
      </c>
      <c r="C3" s="23" t="s">
        <v>282</v>
      </c>
      <c r="D3" s="23">
        <v>0.8</v>
      </c>
      <c r="E3" s="23" t="s">
        <v>279</v>
      </c>
      <c r="F3" s="23" t="s">
        <v>283</v>
      </c>
    </row>
    <row r="4">
      <c r="A4" s="91">
        <v>3.0</v>
      </c>
      <c r="B4" s="23" t="s">
        <v>284</v>
      </c>
      <c r="C4" s="23" t="s">
        <v>285</v>
      </c>
      <c r="D4" s="23">
        <v>3.11</v>
      </c>
      <c r="E4" s="23" t="s">
        <v>286</v>
      </c>
      <c r="F4" s="23" t="s">
        <v>287</v>
      </c>
    </row>
    <row r="5">
      <c r="A5" s="91">
        <v>4.0</v>
      </c>
      <c r="B5" s="23" t="s">
        <v>288</v>
      </c>
      <c r="C5" s="23" t="s">
        <v>289</v>
      </c>
      <c r="D5" s="23">
        <v>2.0</v>
      </c>
      <c r="E5" s="23" t="s">
        <v>290</v>
      </c>
      <c r="F5" s="23" t="s">
        <v>291</v>
      </c>
    </row>
    <row r="6">
      <c r="A6" s="91">
        <v>5.0</v>
      </c>
      <c r="B6" s="23" t="s">
        <v>292</v>
      </c>
      <c r="C6" s="23" t="s">
        <v>293</v>
      </c>
      <c r="D6" s="23">
        <v>0.136</v>
      </c>
      <c r="E6" s="23" t="s">
        <v>290</v>
      </c>
      <c r="F6" s="23" t="s">
        <v>294</v>
      </c>
    </row>
    <row r="7">
      <c r="A7" s="91">
        <v>6.0</v>
      </c>
      <c r="B7" s="23" t="s">
        <v>295</v>
      </c>
      <c r="C7" s="23" t="s">
        <v>296</v>
      </c>
      <c r="D7" s="23">
        <v>2.13</v>
      </c>
      <c r="E7" s="23" t="s">
        <v>290</v>
      </c>
      <c r="F7" s="23" t="s">
        <v>297</v>
      </c>
    </row>
    <row r="8">
      <c r="A8" s="91">
        <v>7.0</v>
      </c>
      <c r="B8" s="23" t="s">
        <v>298</v>
      </c>
      <c r="C8" s="23" t="s">
        <v>299</v>
      </c>
      <c r="D8" s="23">
        <v>1.2</v>
      </c>
      <c r="E8" s="23" t="s">
        <v>290</v>
      </c>
      <c r="F8" s="23" t="s">
        <v>300</v>
      </c>
    </row>
    <row r="9">
      <c r="A9" s="91">
        <v>8.0</v>
      </c>
      <c r="B9" s="23" t="s">
        <v>301</v>
      </c>
      <c r="C9" s="23" t="s">
        <v>302</v>
      </c>
      <c r="D9" s="23">
        <v>3.8</v>
      </c>
      <c r="E9" s="23" t="s">
        <v>290</v>
      </c>
      <c r="F9" s="23" t="s">
        <v>303</v>
      </c>
    </row>
    <row r="10">
      <c r="A10" s="91">
        <v>9.0</v>
      </c>
      <c r="B10" s="23" t="s">
        <v>304</v>
      </c>
      <c r="C10" s="23" t="s">
        <v>305</v>
      </c>
      <c r="D10" s="23">
        <v>0.46</v>
      </c>
      <c r="E10" s="23" t="s">
        <v>306</v>
      </c>
      <c r="F10" s="23" t="s">
        <v>307</v>
      </c>
    </row>
    <row r="11">
      <c r="A11" s="91">
        <v>10.0</v>
      </c>
      <c r="B11" s="23" t="s">
        <v>308</v>
      </c>
      <c r="C11" s="23" t="s">
        <v>309</v>
      </c>
      <c r="D11" s="23">
        <v>0.31</v>
      </c>
      <c r="E11" s="23" t="s">
        <v>310</v>
      </c>
      <c r="F11" s="23" t="s">
        <v>311</v>
      </c>
    </row>
    <row r="12">
      <c r="A12" s="91">
        <v>11.0</v>
      </c>
      <c r="B12" s="23" t="s">
        <v>312</v>
      </c>
      <c r="C12" s="23" t="s">
        <v>313</v>
      </c>
      <c r="D12" s="23">
        <v>4.5</v>
      </c>
      <c r="E12" s="23" t="s">
        <v>314</v>
      </c>
      <c r="F12" s="23" t="s">
        <v>315</v>
      </c>
    </row>
    <row r="13">
      <c r="A13" s="91">
        <v>12.0</v>
      </c>
      <c r="B13" s="23" t="s">
        <v>316</v>
      </c>
      <c r="C13" s="23" t="s">
        <v>317</v>
      </c>
      <c r="D13" s="23">
        <v>0.28</v>
      </c>
      <c r="E13" s="23" t="s">
        <v>306</v>
      </c>
      <c r="F13" s="23" t="s">
        <v>318</v>
      </c>
    </row>
    <row r="14">
      <c r="A14" s="91">
        <v>13.0</v>
      </c>
      <c r="B14" s="23" t="s">
        <v>319</v>
      </c>
      <c r="C14" s="23" t="s">
        <v>320</v>
      </c>
      <c r="D14" s="23">
        <v>9.0</v>
      </c>
      <c r="E14" s="23" t="s">
        <v>290</v>
      </c>
      <c r="F14" s="23" t="s">
        <v>321</v>
      </c>
    </row>
    <row r="15">
      <c r="A15" s="91">
        <v>14.0</v>
      </c>
      <c r="B15" s="23" t="s">
        <v>322</v>
      </c>
      <c r="C15" s="23" t="s">
        <v>323</v>
      </c>
      <c r="D15" s="23">
        <v>1.2</v>
      </c>
      <c r="E15" s="23" t="s">
        <v>306</v>
      </c>
      <c r="F15" s="23" t="s">
        <v>324</v>
      </c>
    </row>
    <row r="16">
      <c r="A16" s="91">
        <v>15.0</v>
      </c>
      <c r="B16" s="23" t="s">
        <v>325</v>
      </c>
      <c r="C16" s="23" t="s">
        <v>326</v>
      </c>
      <c r="D16" s="23">
        <v>0.12</v>
      </c>
      <c r="E16" s="23" t="s">
        <v>290</v>
      </c>
      <c r="F16" s="23" t="s">
        <v>327</v>
      </c>
    </row>
    <row r="17">
      <c r="A17" s="91">
        <v>16.0</v>
      </c>
      <c r="B17" s="23" t="s">
        <v>328</v>
      </c>
      <c r="C17" s="23" t="s">
        <v>329</v>
      </c>
      <c r="D17" s="23">
        <v>1.56</v>
      </c>
      <c r="E17" s="23" t="s">
        <v>310</v>
      </c>
      <c r="F17" s="23" t="s">
        <v>330</v>
      </c>
    </row>
    <row r="18">
      <c r="A18" s="91">
        <v>17.0</v>
      </c>
      <c r="B18" s="23" t="s">
        <v>331</v>
      </c>
      <c r="C18" s="23" t="s">
        <v>332</v>
      </c>
      <c r="D18" s="23" t="s">
        <v>333</v>
      </c>
      <c r="E18" s="23" t="s">
        <v>310</v>
      </c>
      <c r="F18" s="23" t="s">
        <v>334</v>
      </c>
    </row>
    <row r="19">
      <c r="A19" s="91">
        <v>18.0</v>
      </c>
      <c r="B19" s="23" t="s">
        <v>331</v>
      </c>
      <c r="C19" s="23" t="s">
        <v>335</v>
      </c>
      <c r="D19" s="23" t="s">
        <v>336</v>
      </c>
      <c r="E19" s="23" t="s">
        <v>310</v>
      </c>
      <c r="F19" s="23" t="s">
        <v>334</v>
      </c>
    </row>
    <row r="20">
      <c r="A20" s="91">
        <v>19.0</v>
      </c>
      <c r="B20" s="23" t="s">
        <v>331</v>
      </c>
      <c r="C20" s="23" t="s">
        <v>337</v>
      </c>
      <c r="D20" s="23" t="s">
        <v>338</v>
      </c>
      <c r="E20" s="23" t="s">
        <v>310</v>
      </c>
      <c r="F20" s="23" t="s">
        <v>334</v>
      </c>
    </row>
    <row r="21">
      <c r="A21" s="91">
        <v>20.0</v>
      </c>
      <c r="B21" s="23" t="s">
        <v>339</v>
      </c>
      <c r="C21" s="23" t="s">
        <v>340</v>
      </c>
      <c r="D21" s="23">
        <v>1.83</v>
      </c>
      <c r="E21" s="23" t="s">
        <v>341</v>
      </c>
      <c r="F21" s="23" t="s">
        <v>342</v>
      </c>
    </row>
    <row r="22">
      <c r="A22" s="91">
        <v>21.0</v>
      </c>
      <c r="B22" s="23" t="s">
        <v>343</v>
      </c>
      <c r="C22" s="23" t="s">
        <v>344</v>
      </c>
      <c r="D22" s="23">
        <v>29.0</v>
      </c>
      <c r="E22" s="23" t="s">
        <v>310</v>
      </c>
      <c r="F22" s="23" t="s">
        <v>345</v>
      </c>
    </row>
    <row r="23">
      <c r="A23" s="91">
        <v>22.0</v>
      </c>
      <c r="B23" s="23" t="s">
        <v>346</v>
      </c>
      <c r="C23" s="23" t="s">
        <v>347</v>
      </c>
      <c r="D23" s="91">
        <v>3.1</v>
      </c>
      <c r="E23" s="23" t="s">
        <v>306</v>
      </c>
      <c r="F23" s="23" t="s">
        <v>348</v>
      </c>
    </row>
    <row r="24">
      <c r="A24" s="91">
        <v>23.0</v>
      </c>
      <c r="B24" s="23" t="s">
        <v>349</v>
      </c>
      <c r="C24" s="23" t="s">
        <v>350</v>
      </c>
      <c r="D24" s="91">
        <v>3.1</v>
      </c>
      <c r="E24" s="23" t="s">
        <v>306</v>
      </c>
      <c r="F24" s="23" t="s">
        <v>351</v>
      </c>
    </row>
    <row r="25">
      <c r="A25" s="91">
        <v>24.0</v>
      </c>
      <c r="B25" s="23" t="s">
        <v>352</v>
      </c>
      <c r="C25" s="23" t="s">
        <v>353</v>
      </c>
      <c r="D25" s="91">
        <v>0.9</v>
      </c>
      <c r="E25" s="23" t="s">
        <v>354</v>
      </c>
      <c r="F25" s="23" t="s">
        <v>355</v>
      </c>
    </row>
    <row r="26">
      <c r="A26" s="91"/>
      <c r="B26" s="23"/>
      <c r="C26" s="23"/>
      <c r="D26" s="23"/>
      <c r="E26" s="23"/>
      <c r="F26" s="23"/>
    </row>
    <row r="27">
      <c r="A27" s="91"/>
      <c r="B27" s="23"/>
      <c r="C27" s="23"/>
      <c r="D27" s="23"/>
      <c r="E27" s="23"/>
      <c r="F27" s="23"/>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c r="B1" s="93" t="str">
        <f>'Project Team'!B1</f>
        <v>First Name</v>
      </c>
      <c r="C1" s="94" t="s">
        <v>356</v>
      </c>
      <c r="D1" s="95"/>
      <c r="E1" s="96"/>
      <c r="F1" s="97"/>
      <c r="G1" s="98"/>
      <c r="H1" s="98"/>
    </row>
    <row r="2">
      <c r="A2" s="99" t="str">
        <f>'Project Team'!A2</f>
        <v>Kahvecioglu</v>
      </c>
      <c r="B2" s="99" t="str">
        <f>'Project Team'!B2</f>
        <v>Selin</v>
      </c>
      <c r="C2" s="100">
        <v>2.0</v>
      </c>
      <c r="D2" s="101"/>
      <c r="E2" s="102">
        <f>average(C2:C10)</f>
        <v>2</v>
      </c>
      <c r="F2" s="103" t="str">
        <f>if(stdev(C2:C7) &gt; 0,"NOK", "OK")</f>
        <v>OK</v>
      </c>
      <c r="G2" s="104"/>
      <c r="H2" s="104"/>
    </row>
    <row r="3">
      <c r="A3" s="105" t="str">
        <f>'Project Team'!A3</f>
        <v>de Sa Filho</v>
      </c>
      <c r="B3" s="105" t="str">
        <f>'Project Team'!B3</f>
        <v>Fabiano</v>
      </c>
      <c r="C3" s="100" t="s">
        <v>76</v>
      </c>
      <c r="D3" s="106"/>
      <c r="G3" s="107"/>
      <c r="H3" s="107"/>
    </row>
    <row r="4">
      <c r="A4" s="99" t="str">
        <f>'Project Team'!A4</f>
        <v>Ammann</v>
      </c>
      <c r="B4" s="99" t="str">
        <f>'Project Team'!B4</f>
        <v>Paul</v>
      </c>
      <c r="C4" s="100">
        <v>2.0</v>
      </c>
      <c r="D4" s="101"/>
      <c r="G4" s="104"/>
      <c r="H4" s="104"/>
    </row>
    <row r="5">
      <c r="A5" s="105"/>
      <c r="B5" s="105"/>
      <c r="C5" s="100"/>
      <c r="D5" s="108"/>
      <c r="E5" s="108"/>
      <c r="F5" s="108"/>
      <c r="G5" s="107"/>
      <c r="H5" s="107"/>
    </row>
    <row r="6">
      <c r="A6" s="99" t="str">
        <f>'Project Team'!A6</f>
        <v>Wendlandt</v>
      </c>
      <c r="B6" s="99" t="str">
        <f>'Project Team'!B6</f>
        <v>Julian</v>
      </c>
      <c r="C6" s="100">
        <v>2.0</v>
      </c>
      <c r="D6" s="109"/>
      <c r="E6" s="110">
        <v>0.0</v>
      </c>
      <c r="F6" s="111" t="s">
        <v>357</v>
      </c>
      <c r="G6" s="104"/>
      <c r="H6" s="104"/>
    </row>
    <row r="7">
      <c r="A7" s="105" t="str">
        <f>'Project Team'!A7</f>
        <v>Müermann</v>
      </c>
      <c r="B7" s="105" t="str">
        <f>'Project Team'!B7</f>
        <v>Ole</v>
      </c>
      <c r="C7" s="100">
        <v>2.0</v>
      </c>
      <c r="D7" s="108"/>
      <c r="E7" s="110">
        <v>1.0</v>
      </c>
      <c r="F7" s="111" t="s">
        <v>358</v>
      </c>
      <c r="G7" s="107"/>
      <c r="H7" s="107"/>
    </row>
    <row r="8">
      <c r="A8" s="99" t="str">
        <f>'Project Team'!A8</f>
        <v>Klarer</v>
      </c>
      <c r="B8" s="99" t="str">
        <f>'Project Team'!B8</f>
        <v>Paul</v>
      </c>
      <c r="C8" s="100">
        <v>2.0</v>
      </c>
      <c r="D8" s="109"/>
      <c r="E8" s="110">
        <v>2.0</v>
      </c>
      <c r="F8" s="111" t="s">
        <v>359</v>
      </c>
      <c r="G8" s="104"/>
      <c r="H8" s="104"/>
    </row>
    <row r="9">
      <c r="A9" s="105"/>
      <c r="B9" s="105"/>
      <c r="C9" s="112"/>
      <c r="D9" s="108"/>
      <c r="E9" s="110">
        <v>3.0</v>
      </c>
      <c r="F9" s="111" t="s">
        <v>360</v>
      </c>
      <c r="G9" s="107"/>
      <c r="H9" s="107"/>
    </row>
    <row r="10">
      <c r="A10" s="99" t="str">
        <f>'Project Team'!A10</f>
        <v>Annus</v>
      </c>
      <c r="B10" s="99" t="str">
        <f>'Project Team'!B10</f>
        <v>Mohammad</v>
      </c>
      <c r="C10" s="100">
        <v>2.0</v>
      </c>
      <c r="D10" s="109"/>
      <c r="E10" s="110">
        <v>5.0</v>
      </c>
      <c r="F10" s="111" t="s">
        <v>361</v>
      </c>
      <c r="G10" s="104"/>
      <c r="H10" s="104"/>
    </row>
    <row r="11">
      <c r="A11" s="113" t="s">
        <v>60</v>
      </c>
      <c r="B11" s="113" t="s">
        <v>61</v>
      </c>
      <c r="C11" s="100">
        <v>2.0</v>
      </c>
      <c r="D11" s="108"/>
      <c r="E11" s="110">
        <v>8.0</v>
      </c>
      <c r="F11" s="111" t="s">
        <v>362</v>
      </c>
      <c r="G11" s="107"/>
      <c r="H11" s="107"/>
    </row>
    <row r="12">
      <c r="A12" s="99"/>
      <c r="B12" s="99"/>
      <c r="C12" s="114"/>
      <c r="D12" s="109"/>
      <c r="E12" s="110">
        <v>13.0</v>
      </c>
      <c r="F12" s="111" t="s">
        <v>363</v>
      </c>
      <c r="G12" s="104"/>
      <c r="H12" s="104"/>
    </row>
    <row r="13">
      <c r="A13" s="105"/>
      <c r="B13" s="105"/>
      <c r="C13" s="108"/>
      <c r="D13" s="108"/>
      <c r="E13" s="108"/>
      <c r="F13" s="108"/>
      <c r="G13" s="107"/>
      <c r="H13" s="107"/>
    </row>
    <row r="14">
      <c r="A14" s="115" t="s">
        <v>364</v>
      </c>
      <c r="B14" s="116"/>
      <c r="C14" s="116"/>
      <c r="D14" s="116"/>
      <c r="E14" s="116"/>
      <c r="F14" s="116"/>
      <c r="G14" s="116"/>
      <c r="H14" s="116"/>
    </row>
    <row r="15">
      <c r="A15" s="117"/>
      <c r="B15" s="117"/>
      <c r="C15" s="117"/>
      <c r="D15" s="117"/>
      <c r="E15" s="117"/>
      <c r="F15" s="117"/>
      <c r="G15" s="117"/>
      <c r="H15" s="117"/>
    </row>
    <row r="16">
      <c r="A16" s="118" t="s">
        <v>365</v>
      </c>
      <c r="B16" s="119"/>
      <c r="C16" s="119"/>
      <c r="D16" s="119"/>
      <c r="E16" s="119"/>
      <c r="F16" s="119"/>
      <c r="G16" s="119"/>
      <c r="H16" s="119"/>
    </row>
    <row r="17">
      <c r="A17" s="120" t="s">
        <v>366</v>
      </c>
      <c r="B17" s="117"/>
      <c r="C17" s="117"/>
      <c r="D17" s="117"/>
      <c r="E17" s="117"/>
      <c r="F17" s="117"/>
      <c r="G17" s="117"/>
      <c r="H17" s="117"/>
    </row>
    <row r="18">
      <c r="A18" s="118" t="s">
        <v>367</v>
      </c>
      <c r="B18" s="119"/>
      <c r="C18" s="119"/>
      <c r="D18" s="119"/>
      <c r="E18" s="119"/>
      <c r="F18" s="119"/>
      <c r="G18" s="119"/>
      <c r="H18" s="119"/>
    </row>
    <row r="19">
      <c r="A19" s="117"/>
      <c r="B19" s="117"/>
      <c r="C19" s="117"/>
      <c r="D19" s="117"/>
      <c r="E19" s="117"/>
      <c r="F19" s="117"/>
      <c r="G19" s="117"/>
      <c r="H19" s="117"/>
    </row>
    <row r="20">
      <c r="A20" s="119"/>
      <c r="B20" s="119"/>
      <c r="C20" s="119"/>
      <c r="D20" s="119"/>
      <c r="E20" s="119"/>
      <c r="F20" s="119"/>
      <c r="G20" s="119"/>
      <c r="H20" s="119"/>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